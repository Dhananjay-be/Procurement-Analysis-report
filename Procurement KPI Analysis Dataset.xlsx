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Admin\Videos\Captures\"/>
    </mc:Choice>
  </mc:AlternateContent>
  <xr:revisionPtr revIDLastSave="0" documentId="13_ncr:1_{58ECDE47-4126-432A-93E4-0D49A8D11F2B}" xr6:coauthVersionLast="47" xr6:coauthVersionMax="47" xr10:uidLastSave="{00000000-0000-0000-0000-000000000000}"/>
  <bookViews>
    <workbookView xWindow="-120" yWindow="-120" windowWidth="20730" windowHeight="11160" xr2:uid="{EF1F04BB-E745-4256-8CA0-238C3DAF04E4}"/>
  </bookViews>
  <sheets>
    <sheet name="Dashboard" sheetId="2" r:id="rId1"/>
    <sheet name="Sheet1" sheetId="5" state="hidden" r:id="rId2"/>
    <sheet name="Procurement KPI Analysis Datase" sheetId="1" r:id="rId3"/>
    <sheet name="Procuremet summary" sheetId="4" r:id="rId4"/>
    <sheet name="Sheet2" sheetId="7" r:id="rId5"/>
    <sheet name="Supplier Performance Analysis" sheetId="3" r:id="rId6"/>
  </sheets>
  <definedNames>
    <definedName name="_xlcn.WorksheetConnection_ProcurementKPIAnalysisDataset.xlsxTable11" hidden="1">Table1[]</definedName>
    <definedName name="NativeTimeline_Order_Date">#N/A</definedName>
    <definedName name="Slicer_Item_Category">#N/A</definedName>
    <definedName name="Slicer_Order_Status">#N/A</definedName>
    <definedName name="Slicer_Supplier">#N/A</definedName>
  </definedNames>
  <calcPr calcId="191029"/>
  <pivotCaches>
    <pivotCache cacheId="13" r:id="rId7"/>
    <pivotCache cacheId="6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Table1" name="Table1" connection="WorksheetConnection_Procurement KPI Analysis Dataset.xlsx!Table1"/>
        </x15:modelTables>
        <x15:extLst>
          <ext xmlns:x16="http://schemas.microsoft.com/office/spreadsheetml/2014/11/main" uri="{9835A34E-60A6-4A7C-AAB8-D5F71C897F49}">
            <x16:modelTimeGroupings>
              <x16:modelTimeGrouping tableName="Table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 i="1" l="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R10" i="1"/>
  <c r="R11" i="1"/>
  <c r="R14" i="1"/>
  <c r="R15" i="1"/>
  <c r="R16" i="1"/>
  <c r="R20" i="1"/>
  <c r="R22" i="1"/>
  <c r="R25" i="1"/>
  <c r="R31" i="1"/>
  <c r="R38" i="1"/>
  <c r="R39" i="1"/>
  <c r="R41" i="1"/>
  <c r="R47" i="1"/>
  <c r="R50" i="1"/>
  <c r="R51" i="1"/>
  <c r="R53" i="1"/>
  <c r="R54" i="1"/>
  <c r="R55" i="1"/>
  <c r="R58" i="1"/>
  <c r="R60" i="1"/>
  <c r="R63" i="1"/>
  <c r="R67" i="1"/>
  <c r="R70" i="1"/>
  <c r="R72" i="1"/>
  <c r="R73" i="1"/>
  <c r="R77" i="1"/>
  <c r="R80" i="1"/>
  <c r="R84" i="1"/>
  <c r="R89" i="1"/>
  <c r="R91" i="1"/>
  <c r="R92" i="1"/>
  <c r="R95" i="1"/>
  <c r="R96" i="1"/>
  <c r="R97" i="1"/>
  <c r="R100" i="1"/>
  <c r="R101" i="1"/>
  <c r="R103" i="1"/>
  <c r="R106" i="1"/>
  <c r="R107" i="1"/>
  <c r="R109" i="1"/>
  <c r="R111" i="1"/>
  <c r="R112" i="1"/>
  <c r="R115" i="1"/>
  <c r="R118" i="1"/>
  <c r="R121" i="1"/>
  <c r="R122" i="1"/>
  <c r="R125" i="1"/>
  <c r="R127" i="1"/>
  <c r="R134" i="1"/>
  <c r="R135" i="1"/>
  <c r="R141" i="1"/>
  <c r="R147" i="1"/>
  <c r="R150" i="1"/>
  <c r="R154" i="1"/>
  <c r="R158" i="1"/>
  <c r="R161" i="1"/>
  <c r="R162" i="1"/>
  <c r="R166" i="1"/>
  <c r="R176" i="1"/>
  <c r="R179" i="1"/>
  <c r="R184" i="1"/>
  <c r="R185" i="1"/>
  <c r="R186" i="1"/>
  <c r="R187" i="1"/>
  <c r="R188" i="1"/>
  <c r="R191" i="1"/>
  <c r="R196" i="1"/>
  <c r="R197" i="1"/>
  <c r="R200" i="1"/>
  <c r="R205" i="1"/>
  <c r="R206" i="1"/>
  <c r="R208" i="1"/>
  <c r="R212" i="1"/>
  <c r="R216" i="1"/>
  <c r="R219" i="1"/>
  <c r="R220" i="1"/>
  <c r="R227" i="1"/>
  <c r="R230" i="1"/>
  <c r="R236" i="1"/>
  <c r="R237" i="1"/>
  <c r="R238" i="1"/>
  <c r="R241" i="1"/>
  <c r="R244" i="1"/>
  <c r="R247" i="1"/>
  <c r="R251" i="1"/>
  <c r="R252" i="1"/>
  <c r="R253" i="1"/>
  <c r="R257" i="1"/>
  <c r="R259" i="1"/>
  <c r="R260" i="1"/>
  <c r="R265" i="1"/>
  <c r="R269" i="1"/>
  <c r="R270" i="1"/>
  <c r="R271" i="1"/>
  <c r="R272" i="1"/>
  <c r="R274" i="1"/>
  <c r="R275" i="1"/>
  <c r="R276" i="1"/>
  <c r="R278" i="1"/>
  <c r="R280" i="1"/>
  <c r="R281" i="1"/>
  <c r="R285" i="1"/>
  <c r="R291" i="1"/>
  <c r="R298" i="1"/>
  <c r="R301" i="1"/>
  <c r="R303" i="1"/>
  <c r="R305" i="1"/>
  <c r="R312" i="1"/>
  <c r="R320" i="1"/>
  <c r="R322" i="1"/>
  <c r="R326" i="1"/>
  <c r="R330" i="1"/>
  <c r="R332" i="1"/>
  <c r="R336" i="1"/>
  <c r="R337" i="1"/>
  <c r="R338" i="1"/>
  <c r="R339" i="1"/>
  <c r="R340" i="1"/>
  <c r="R341" i="1"/>
  <c r="R342" i="1"/>
  <c r="R344" i="1"/>
  <c r="R349" i="1"/>
  <c r="R351" i="1"/>
  <c r="R354" i="1"/>
  <c r="R355" i="1"/>
  <c r="R360" i="1"/>
  <c r="R361" i="1"/>
  <c r="R363" i="1"/>
  <c r="R367" i="1"/>
  <c r="R370" i="1"/>
  <c r="R374" i="1"/>
  <c r="R378" i="1"/>
  <c r="R381" i="1"/>
  <c r="R385" i="1"/>
  <c r="R386" i="1"/>
  <c r="R391" i="1"/>
  <c r="R397" i="1"/>
  <c r="R398" i="1"/>
  <c r="R400" i="1"/>
  <c r="R404" i="1"/>
  <c r="R407" i="1"/>
  <c r="R413" i="1"/>
  <c r="R414" i="1"/>
  <c r="R415" i="1"/>
  <c r="R418" i="1"/>
  <c r="R423" i="1"/>
  <c r="R424" i="1"/>
  <c r="R425" i="1"/>
  <c r="R427" i="1"/>
  <c r="R428" i="1"/>
  <c r="R430" i="1"/>
  <c r="R432" i="1"/>
  <c r="R433" i="1"/>
  <c r="R434" i="1"/>
  <c r="R435" i="1"/>
  <c r="R437" i="1"/>
  <c r="R439" i="1"/>
  <c r="R442" i="1"/>
  <c r="R443" i="1"/>
  <c r="R444" i="1"/>
  <c r="R445" i="1"/>
  <c r="R447" i="1"/>
  <c r="R448" i="1"/>
  <c r="R449" i="1"/>
  <c r="R463" i="1"/>
  <c r="R464" i="1"/>
  <c r="R465" i="1"/>
  <c r="R467" i="1"/>
  <c r="R468" i="1"/>
  <c r="R469" i="1"/>
  <c r="R470" i="1"/>
  <c r="R471" i="1"/>
  <c r="R477" i="1"/>
  <c r="R479" i="1"/>
  <c r="R485" i="1"/>
  <c r="R488" i="1"/>
  <c r="R489" i="1"/>
  <c r="R493" i="1"/>
  <c r="R494" i="1"/>
  <c r="R495" i="1"/>
  <c r="R497" i="1"/>
  <c r="R500" i="1"/>
  <c r="R501" i="1"/>
  <c r="R504" i="1"/>
  <c r="R513" i="1"/>
  <c r="R515" i="1"/>
  <c r="R518" i="1"/>
  <c r="R522" i="1"/>
  <c r="R524" i="1"/>
  <c r="R528" i="1"/>
  <c r="R533" i="1"/>
  <c r="R535" i="1"/>
  <c r="R536" i="1"/>
  <c r="R538" i="1"/>
  <c r="R545" i="1"/>
  <c r="R546" i="1"/>
  <c r="R548" i="1"/>
  <c r="R559" i="1"/>
  <c r="R561" i="1"/>
  <c r="R566" i="1"/>
  <c r="R571" i="1"/>
  <c r="R572" i="1"/>
  <c r="R573" i="1"/>
  <c r="R576" i="1"/>
  <c r="R579" i="1"/>
  <c r="R581" i="1"/>
  <c r="R583" i="1"/>
  <c r="R584" i="1"/>
  <c r="R587" i="1"/>
  <c r="R588" i="1"/>
  <c r="R591" i="1"/>
  <c r="R592" i="1"/>
  <c r="R593" i="1"/>
  <c r="R594" i="1"/>
  <c r="R595" i="1"/>
  <c r="R597" i="1"/>
  <c r="R598" i="1"/>
  <c r="R605" i="1"/>
  <c r="R607" i="1"/>
  <c r="R610" i="1"/>
  <c r="R617" i="1"/>
  <c r="R619" i="1"/>
  <c r="R629" i="1"/>
  <c r="R637" i="1"/>
  <c r="R641" i="1"/>
  <c r="R645" i="1"/>
  <c r="R646" i="1"/>
  <c r="R649" i="1"/>
  <c r="R650" i="1"/>
  <c r="R651" i="1"/>
  <c r="R652" i="1"/>
  <c r="R653" i="1"/>
  <c r="R654" i="1"/>
  <c r="R656" i="1"/>
  <c r="R658" i="1"/>
  <c r="R659" i="1"/>
  <c r="R660" i="1"/>
  <c r="R661" i="1"/>
  <c r="R667" i="1"/>
  <c r="R668" i="1"/>
  <c r="R672" i="1"/>
  <c r="R679" i="1"/>
  <c r="R680" i="1"/>
  <c r="R684" i="1"/>
  <c r="R686" i="1"/>
  <c r="R687" i="1"/>
  <c r="R689" i="1"/>
  <c r="R690" i="1"/>
  <c r="R691" i="1"/>
  <c r="R692" i="1"/>
  <c r="R693" i="1"/>
  <c r="R694" i="1"/>
  <c r="R702" i="1"/>
  <c r="R705" i="1"/>
  <c r="R706" i="1"/>
  <c r="R707" i="1"/>
  <c r="R712" i="1"/>
  <c r="R713" i="1"/>
  <c r="R717" i="1"/>
  <c r="R718" i="1"/>
  <c r="R720" i="1"/>
  <c r="R721" i="1"/>
  <c r="R722" i="1"/>
  <c r="R725" i="1"/>
  <c r="R726" i="1"/>
  <c r="R733" i="1"/>
  <c r="R735" i="1"/>
  <c r="R736" i="1"/>
  <c r="R739" i="1"/>
  <c r="R744" i="1"/>
  <c r="R747" i="1"/>
  <c r="R749" i="1"/>
  <c r="R752" i="1"/>
  <c r="R753" i="1"/>
  <c r="R754" i="1"/>
  <c r="R756" i="1"/>
  <c r="R757" i="1"/>
  <c r="R758" i="1"/>
  <c r="R761" i="1"/>
  <c r="R766" i="1"/>
  <c r="R767" i="1"/>
  <c r="R771" i="1"/>
  <c r="R772" i="1"/>
  <c r="R775"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3" i="1"/>
  <c r="S4" i="1"/>
  <c r="S5" i="1"/>
  <c r="S6" i="1"/>
  <c r="S7" i="1"/>
  <c r="S8" i="1"/>
  <c r="S9" i="1"/>
  <c r="S10" i="1"/>
  <c r="S2" i="1"/>
  <c r="R2" i="1"/>
  <c r="L594" i="1"/>
  <c r="W21" i="1"/>
  <c r="W18" i="1"/>
  <c r="W20"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L2" i="1"/>
  <c r="L3" i="1"/>
  <c r="R3" i="1" s="1"/>
  <c r="L4" i="1"/>
  <c r="R4" i="1" s="1"/>
  <c r="L5" i="1"/>
  <c r="R5" i="1" s="1"/>
  <c r="L6" i="1"/>
  <c r="R6" i="1" s="1"/>
  <c r="L7" i="1"/>
  <c r="R7" i="1" s="1"/>
  <c r="L8" i="1"/>
  <c r="R8" i="1" s="1"/>
  <c r="L9" i="1"/>
  <c r="R9" i="1" s="1"/>
  <c r="L10" i="1"/>
  <c r="L11" i="1"/>
  <c r="L12" i="1"/>
  <c r="R12" i="1" s="1"/>
  <c r="L13" i="1"/>
  <c r="R13" i="1" s="1"/>
  <c r="L14" i="1"/>
  <c r="L15" i="1"/>
  <c r="L16" i="1"/>
  <c r="L17" i="1"/>
  <c r="R17" i="1" s="1"/>
  <c r="L18" i="1"/>
  <c r="R18" i="1" s="1"/>
  <c r="L19" i="1"/>
  <c r="R19" i="1" s="1"/>
  <c r="L20" i="1"/>
  <c r="L21" i="1"/>
  <c r="R21" i="1" s="1"/>
  <c r="L22" i="1"/>
  <c r="L23" i="1"/>
  <c r="R23" i="1" s="1"/>
  <c r="L24" i="1"/>
  <c r="R24" i="1" s="1"/>
  <c r="L25" i="1"/>
  <c r="L26" i="1"/>
  <c r="R26" i="1" s="1"/>
  <c r="L27" i="1"/>
  <c r="R27" i="1" s="1"/>
  <c r="L28" i="1"/>
  <c r="R28" i="1" s="1"/>
  <c r="L29" i="1"/>
  <c r="R29" i="1" s="1"/>
  <c r="L30" i="1"/>
  <c r="R30" i="1" s="1"/>
  <c r="L31" i="1"/>
  <c r="L32" i="1"/>
  <c r="R32" i="1" s="1"/>
  <c r="L33" i="1"/>
  <c r="R33" i="1" s="1"/>
  <c r="L34" i="1"/>
  <c r="R34" i="1" s="1"/>
  <c r="L35" i="1"/>
  <c r="R35" i="1" s="1"/>
  <c r="L36" i="1"/>
  <c r="R36" i="1" s="1"/>
  <c r="L37" i="1"/>
  <c r="R37" i="1" s="1"/>
  <c r="L38" i="1"/>
  <c r="L39" i="1"/>
  <c r="L40" i="1"/>
  <c r="R40" i="1" s="1"/>
  <c r="L41" i="1"/>
  <c r="L42" i="1"/>
  <c r="R42" i="1" s="1"/>
  <c r="L43" i="1"/>
  <c r="R43" i="1" s="1"/>
  <c r="L44" i="1"/>
  <c r="R44" i="1" s="1"/>
  <c r="L45" i="1"/>
  <c r="R45" i="1" s="1"/>
  <c r="L46" i="1"/>
  <c r="R46" i="1" s="1"/>
  <c r="L47" i="1"/>
  <c r="L48" i="1"/>
  <c r="R48" i="1" s="1"/>
  <c r="L49" i="1"/>
  <c r="R49" i="1" s="1"/>
  <c r="L50" i="1"/>
  <c r="L51" i="1"/>
  <c r="L52" i="1"/>
  <c r="R52" i="1" s="1"/>
  <c r="L53" i="1"/>
  <c r="L54" i="1"/>
  <c r="L55" i="1"/>
  <c r="L56" i="1"/>
  <c r="R56" i="1" s="1"/>
  <c r="L57" i="1"/>
  <c r="R57" i="1" s="1"/>
  <c r="L58" i="1"/>
  <c r="L59" i="1"/>
  <c r="R59" i="1" s="1"/>
  <c r="L60" i="1"/>
  <c r="L61" i="1"/>
  <c r="R61" i="1" s="1"/>
  <c r="L62" i="1"/>
  <c r="R62" i="1" s="1"/>
  <c r="L63" i="1"/>
  <c r="L64" i="1"/>
  <c r="R64" i="1" s="1"/>
  <c r="L65" i="1"/>
  <c r="R65" i="1" s="1"/>
  <c r="L66" i="1"/>
  <c r="R66" i="1" s="1"/>
  <c r="L67" i="1"/>
  <c r="L68" i="1"/>
  <c r="R68" i="1" s="1"/>
  <c r="L69" i="1"/>
  <c r="R69" i="1" s="1"/>
  <c r="L70" i="1"/>
  <c r="L71" i="1"/>
  <c r="R71" i="1" s="1"/>
  <c r="L72" i="1"/>
  <c r="L73" i="1"/>
  <c r="L74" i="1"/>
  <c r="R74" i="1" s="1"/>
  <c r="L75" i="1"/>
  <c r="R75" i="1" s="1"/>
  <c r="L76" i="1"/>
  <c r="R76" i="1" s="1"/>
  <c r="L77" i="1"/>
  <c r="L78" i="1"/>
  <c r="R78" i="1" s="1"/>
  <c r="L79" i="1"/>
  <c r="R79" i="1" s="1"/>
  <c r="L80" i="1"/>
  <c r="L81" i="1"/>
  <c r="R81" i="1" s="1"/>
  <c r="L82" i="1"/>
  <c r="R82" i="1" s="1"/>
  <c r="L83" i="1"/>
  <c r="R83" i="1" s="1"/>
  <c r="L84" i="1"/>
  <c r="L85" i="1"/>
  <c r="R85" i="1" s="1"/>
  <c r="L86" i="1"/>
  <c r="R86" i="1" s="1"/>
  <c r="L87" i="1"/>
  <c r="R87" i="1" s="1"/>
  <c r="L88" i="1"/>
  <c r="R88" i="1" s="1"/>
  <c r="L89" i="1"/>
  <c r="L90" i="1"/>
  <c r="R90" i="1" s="1"/>
  <c r="L91" i="1"/>
  <c r="L92" i="1"/>
  <c r="L93" i="1"/>
  <c r="R93" i="1" s="1"/>
  <c r="L94" i="1"/>
  <c r="R94" i="1" s="1"/>
  <c r="L95" i="1"/>
  <c r="L96" i="1"/>
  <c r="L97" i="1"/>
  <c r="L98" i="1"/>
  <c r="R98" i="1" s="1"/>
  <c r="L99" i="1"/>
  <c r="R99" i="1" s="1"/>
  <c r="L100" i="1"/>
  <c r="L101" i="1"/>
  <c r="L102" i="1"/>
  <c r="R102" i="1" s="1"/>
  <c r="L103" i="1"/>
  <c r="L104" i="1"/>
  <c r="R104" i="1" s="1"/>
  <c r="L105" i="1"/>
  <c r="R105" i="1" s="1"/>
  <c r="L106" i="1"/>
  <c r="L107" i="1"/>
  <c r="L108" i="1"/>
  <c r="R108" i="1" s="1"/>
  <c r="L109" i="1"/>
  <c r="L110" i="1"/>
  <c r="R110" i="1" s="1"/>
  <c r="L111" i="1"/>
  <c r="L112" i="1"/>
  <c r="L113" i="1"/>
  <c r="R113" i="1" s="1"/>
  <c r="L114" i="1"/>
  <c r="R114" i="1" s="1"/>
  <c r="L115" i="1"/>
  <c r="L116" i="1"/>
  <c r="R116" i="1" s="1"/>
  <c r="L117" i="1"/>
  <c r="R117" i="1" s="1"/>
  <c r="L118" i="1"/>
  <c r="L119" i="1"/>
  <c r="R119" i="1" s="1"/>
  <c r="L120" i="1"/>
  <c r="R120" i="1" s="1"/>
  <c r="L121" i="1"/>
  <c r="L122" i="1"/>
  <c r="L123" i="1"/>
  <c r="R123" i="1" s="1"/>
  <c r="L124" i="1"/>
  <c r="R124" i="1" s="1"/>
  <c r="L125" i="1"/>
  <c r="L126" i="1"/>
  <c r="R126" i="1" s="1"/>
  <c r="L127" i="1"/>
  <c r="L128" i="1"/>
  <c r="R128" i="1" s="1"/>
  <c r="L129" i="1"/>
  <c r="R129" i="1" s="1"/>
  <c r="L130" i="1"/>
  <c r="R130" i="1" s="1"/>
  <c r="L131" i="1"/>
  <c r="R131" i="1" s="1"/>
  <c r="L132" i="1"/>
  <c r="R132" i="1" s="1"/>
  <c r="L133" i="1"/>
  <c r="R133" i="1" s="1"/>
  <c r="L134" i="1"/>
  <c r="L135" i="1"/>
  <c r="L136" i="1"/>
  <c r="R136" i="1" s="1"/>
  <c r="L137" i="1"/>
  <c r="R137" i="1" s="1"/>
  <c r="L138" i="1"/>
  <c r="R138" i="1" s="1"/>
  <c r="L139" i="1"/>
  <c r="R139" i="1" s="1"/>
  <c r="L140" i="1"/>
  <c r="R140" i="1" s="1"/>
  <c r="L141" i="1"/>
  <c r="L142" i="1"/>
  <c r="R142" i="1" s="1"/>
  <c r="L143" i="1"/>
  <c r="R143" i="1" s="1"/>
  <c r="L144" i="1"/>
  <c r="R144" i="1" s="1"/>
  <c r="L145" i="1"/>
  <c r="R145" i="1" s="1"/>
  <c r="L146" i="1"/>
  <c r="R146" i="1" s="1"/>
  <c r="L147" i="1"/>
  <c r="L148" i="1"/>
  <c r="R148" i="1" s="1"/>
  <c r="L149" i="1"/>
  <c r="R149" i="1" s="1"/>
  <c r="L150" i="1"/>
  <c r="L151" i="1"/>
  <c r="R151" i="1" s="1"/>
  <c r="L152" i="1"/>
  <c r="R152" i="1" s="1"/>
  <c r="L153" i="1"/>
  <c r="R153" i="1" s="1"/>
  <c r="L154" i="1"/>
  <c r="L155" i="1"/>
  <c r="R155" i="1" s="1"/>
  <c r="L156" i="1"/>
  <c r="R156" i="1" s="1"/>
  <c r="L157" i="1"/>
  <c r="R157" i="1" s="1"/>
  <c r="L158" i="1"/>
  <c r="L159" i="1"/>
  <c r="R159" i="1" s="1"/>
  <c r="L160" i="1"/>
  <c r="R160" i="1" s="1"/>
  <c r="L161" i="1"/>
  <c r="L162" i="1"/>
  <c r="L163" i="1"/>
  <c r="R163" i="1" s="1"/>
  <c r="L164" i="1"/>
  <c r="R164" i="1" s="1"/>
  <c r="L165" i="1"/>
  <c r="R165" i="1" s="1"/>
  <c r="L166" i="1"/>
  <c r="L167" i="1"/>
  <c r="R167" i="1" s="1"/>
  <c r="L168" i="1"/>
  <c r="R168" i="1" s="1"/>
  <c r="L169" i="1"/>
  <c r="R169" i="1" s="1"/>
  <c r="L170" i="1"/>
  <c r="R170" i="1" s="1"/>
  <c r="L171" i="1"/>
  <c r="R171" i="1" s="1"/>
  <c r="L172" i="1"/>
  <c r="R172" i="1" s="1"/>
  <c r="L173" i="1"/>
  <c r="R173" i="1" s="1"/>
  <c r="L174" i="1"/>
  <c r="R174" i="1" s="1"/>
  <c r="L175" i="1"/>
  <c r="R175" i="1" s="1"/>
  <c r="L176" i="1"/>
  <c r="L177" i="1"/>
  <c r="R177" i="1" s="1"/>
  <c r="L178" i="1"/>
  <c r="R178" i="1" s="1"/>
  <c r="L179" i="1"/>
  <c r="L180" i="1"/>
  <c r="R180" i="1" s="1"/>
  <c r="L181" i="1"/>
  <c r="R181" i="1" s="1"/>
  <c r="L182" i="1"/>
  <c r="R182" i="1" s="1"/>
  <c r="L183" i="1"/>
  <c r="R183" i="1" s="1"/>
  <c r="L184" i="1"/>
  <c r="L185" i="1"/>
  <c r="L186" i="1"/>
  <c r="L187" i="1"/>
  <c r="L188" i="1"/>
  <c r="L189" i="1"/>
  <c r="R189" i="1" s="1"/>
  <c r="L190" i="1"/>
  <c r="R190" i="1" s="1"/>
  <c r="L191" i="1"/>
  <c r="L192" i="1"/>
  <c r="R192" i="1" s="1"/>
  <c r="L193" i="1"/>
  <c r="R193" i="1" s="1"/>
  <c r="L194" i="1"/>
  <c r="R194" i="1" s="1"/>
  <c r="L195" i="1"/>
  <c r="R195" i="1" s="1"/>
  <c r="L196" i="1"/>
  <c r="L197" i="1"/>
  <c r="L198" i="1"/>
  <c r="R198" i="1" s="1"/>
  <c r="L199" i="1"/>
  <c r="R199" i="1" s="1"/>
  <c r="L200" i="1"/>
  <c r="L201" i="1"/>
  <c r="R201" i="1" s="1"/>
  <c r="L202" i="1"/>
  <c r="R202" i="1" s="1"/>
  <c r="L203" i="1"/>
  <c r="R203" i="1" s="1"/>
  <c r="L204" i="1"/>
  <c r="R204" i="1" s="1"/>
  <c r="L205" i="1"/>
  <c r="L206" i="1"/>
  <c r="L207" i="1"/>
  <c r="R207" i="1" s="1"/>
  <c r="L208" i="1"/>
  <c r="L209" i="1"/>
  <c r="R209" i="1" s="1"/>
  <c r="L210" i="1"/>
  <c r="R210" i="1" s="1"/>
  <c r="L211" i="1"/>
  <c r="R211" i="1" s="1"/>
  <c r="L212" i="1"/>
  <c r="L213" i="1"/>
  <c r="R213" i="1" s="1"/>
  <c r="L214" i="1"/>
  <c r="R214" i="1" s="1"/>
  <c r="L215" i="1"/>
  <c r="R215" i="1" s="1"/>
  <c r="L216" i="1"/>
  <c r="L217" i="1"/>
  <c r="R217" i="1" s="1"/>
  <c r="L218" i="1"/>
  <c r="R218" i="1" s="1"/>
  <c r="L219" i="1"/>
  <c r="L220" i="1"/>
  <c r="L221" i="1"/>
  <c r="R221" i="1" s="1"/>
  <c r="L222" i="1"/>
  <c r="R222" i="1" s="1"/>
  <c r="L223" i="1"/>
  <c r="R223" i="1" s="1"/>
  <c r="L224" i="1"/>
  <c r="R224" i="1" s="1"/>
  <c r="L225" i="1"/>
  <c r="R225" i="1" s="1"/>
  <c r="L226" i="1"/>
  <c r="R226" i="1" s="1"/>
  <c r="L227" i="1"/>
  <c r="L228" i="1"/>
  <c r="R228" i="1" s="1"/>
  <c r="L229" i="1"/>
  <c r="R229" i="1" s="1"/>
  <c r="L230" i="1"/>
  <c r="L231" i="1"/>
  <c r="R231" i="1" s="1"/>
  <c r="L232" i="1"/>
  <c r="R232" i="1" s="1"/>
  <c r="L233" i="1"/>
  <c r="R233" i="1" s="1"/>
  <c r="L234" i="1"/>
  <c r="R234" i="1" s="1"/>
  <c r="L235" i="1"/>
  <c r="R235" i="1" s="1"/>
  <c r="L236" i="1"/>
  <c r="L237" i="1"/>
  <c r="L238" i="1"/>
  <c r="L239" i="1"/>
  <c r="R239" i="1" s="1"/>
  <c r="L240" i="1"/>
  <c r="R240" i="1" s="1"/>
  <c r="L241" i="1"/>
  <c r="L242" i="1"/>
  <c r="R242" i="1" s="1"/>
  <c r="L243" i="1"/>
  <c r="R243" i="1" s="1"/>
  <c r="L244" i="1"/>
  <c r="L245" i="1"/>
  <c r="R245" i="1" s="1"/>
  <c r="L246" i="1"/>
  <c r="R246" i="1" s="1"/>
  <c r="L247" i="1"/>
  <c r="L248" i="1"/>
  <c r="R248" i="1" s="1"/>
  <c r="L249" i="1"/>
  <c r="R249" i="1" s="1"/>
  <c r="L250" i="1"/>
  <c r="R250" i="1" s="1"/>
  <c r="L251" i="1"/>
  <c r="L252" i="1"/>
  <c r="L253" i="1"/>
  <c r="L254" i="1"/>
  <c r="R254" i="1" s="1"/>
  <c r="L255" i="1"/>
  <c r="R255" i="1" s="1"/>
  <c r="L256" i="1"/>
  <c r="R256" i="1" s="1"/>
  <c r="L257" i="1"/>
  <c r="L258" i="1"/>
  <c r="R258" i="1" s="1"/>
  <c r="L259" i="1"/>
  <c r="L260" i="1"/>
  <c r="L261" i="1"/>
  <c r="R261" i="1" s="1"/>
  <c r="L262" i="1"/>
  <c r="R262" i="1" s="1"/>
  <c r="L263" i="1"/>
  <c r="R263" i="1" s="1"/>
  <c r="L264" i="1"/>
  <c r="R264" i="1" s="1"/>
  <c r="L265" i="1"/>
  <c r="L266" i="1"/>
  <c r="R266" i="1" s="1"/>
  <c r="L267" i="1"/>
  <c r="R267" i="1" s="1"/>
  <c r="L268" i="1"/>
  <c r="R268" i="1" s="1"/>
  <c r="L269" i="1"/>
  <c r="L270" i="1"/>
  <c r="L271" i="1"/>
  <c r="L272" i="1"/>
  <c r="L273" i="1"/>
  <c r="R273" i="1" s="1"/>
  <c r="L274" i="1"/>
  <c r="L275" i="1"/>
  <c r="L276" i="1"/>
  <c r="L277" i="1"/>
  <c r="R277" i="1" s="1"/>
  <c r="L278" i="1"/>
  <c r="L279" i="1"/>
  <c r="R279" i="1" s="1"/>
  <c r="L280" i="1"/>
  <c r="L281" i="1"/>
  <c r="L282" i="1"/>
  <c r="R282" i="1" s="1"/>
  <c r="L283" i="1"/>
  <c r="R283" i="1" s="1"/>
  <c r="L284" i="1"/>
  <c r="R284" i="1" s="1"/>
  <c r="L285" i="1"/>
  <c r="L286" i="1"/>
  <c r="R286" i="1" s="1"/>
  <c r="L287" i="1"/>
  <c r="R287" i="1" s="1"/>
  <c r="L288" i="1"/>
  <c r="R288" i="1" s="1"/>
  <c r="L289" i="1"/>
  <c r="R289" i="1" s="1"/>
  <c r="L290" i="1"/>
  <c r="R290" i="1" s="1"/>
  <c r="L291" i="1"/>
  <c r="L292" i="1"/>
  <c r="R292" i="1" s="1"/>
  <c r="L293" i="1"/>
  <c r="R293" i="1" s="1"/>
  <c r="L294" i="1"/>
  <c r="R294" i="1" s="1"/>
  <c r="L295" i="1"/>
  <c r="R295" i="1" s="1"/>
  <c r="L296" i="1"/>
  <c r="R296" i="1" s="1"/>
  <c r="L297" i="1"/>
  <c r="R297" i="1" s="1"/>
  <c r="L298" i="1"/>
  <c r="L299" i="1"/>
  <c r="R299" i="1" s="1"/>
  <c r="L300" i="1"/>
  <c r="R300" i="1" s="1"/>
  <c r="L301" i="1"/>
  <c r="L302" i="1"/>
  <c r="R302" i="1" s="1"/>
  <c r="L303" i="1"/>
  <c r="L304" i="1"/>
  <c r="R304" i="1" s="1"/>
  <c r="L305" i="1"/>
  <c r="L306" i="1"/>
  <c r="R306" i="1" s="1"/>
  <c r="L307" i="1"/>
  <c r="R307" i="1" s="1"/>
  <c r="L308" i="1"/>
  <c r="R308" i="1" s="1"/>
  <c r="L309" i="1"/>
  <c r="R309" i="1" s="1"/>
  <c r="L310" i="1"/>
  <c r="R310" i="1" s="1"/>
  <c r="L311" i="1"/>
  <c r="R311" i="1" s="1"/>
  <c r="L312" i="1"/>
  <c r="L313" i="1"/>
  <c r="R313" i="1" s="1"/>
  <c r="L314" i="1"/>
  <c r="R314" i="1" s="1"/>
  <c r="L315" i="1"/>
  <c r="R315" i="1" s="1"/>
  <c r="L316" i="1"/>
  <c r="R316" i="1" s="1"/>
  <c r="L317" i="1"/>
  <c r="R317" i="1" s="1"/>
  <c r="L318" i="1"/>
  <c r="R318" i="1" s="1"/>
  <c r="L319" i="1"/>
  <c r="R319" i="1" s="1"/>
  <c r="L320" i="1"/>
  <c r="L321" i="1"/>
  <c r="R321" i="1" s="1"/>
  <c r="L322" i="1"/>
  <c r="L323" i="1"/>
  <c r="R323" i="1" s="1"/>
  <c r="L324" i="1"/>
  <c r="R324" i="1" s="1"/>
  <c r="L325" i="1"/>
  <c r="R325" i="1" s="1"/>
  <c r="L326" i="1"/>
  <c r="L327" i="1"/>
  <c r="R327" i="1" s="1"/>
  <c r="L328" i="1"/>
  <c r="R328" i="1" s="1"/>
  <c r="L329" i="1"/>
  <c r="R329" i="1" s="1"/>
  <c r="L330" i="1"/>
  <c r="L331" i="1"/>
  <c r="R331" i="1" s="1"/>
  <c r="L332" i="1"/>
  <c r="L333" i="1"/>
  <c r="R333" i="1" s="1"/>
  <c r="L334" i="1"/>
  <c r="R334" i="1" s="1"/>
  <c r="L335" i="1"/>
  <c r="R335" i="1" s="1"/>
  <c r="L336" i="1"/>
  <c r="L337" i="1"/>
  <c r="L338" i="1"/>
  <c r="L339" i="1"/>
  <c r="L340" i="1"/>
  <c r="L341" i="1"/>
  <c r="L342" i="1"/>
  <c r="L343" i="1"/>
  <c r="R343" i="1" s="1"/>
  <c r="L344" i="1"/>
  <c r="L345" i="1"/>
  <c r="R345" i="1" s="1"/>
  <c r="L346" i="1"/>
  <c r="R346" i="1" s="1"/>
  <c r="L347" i="1"/>
  <c r="R347" i="1" s="1"/>
  <c r="L348" i="1"/>
  <c r="R348" i="1" s="1"/>
  <c r="L349" i="1"/>
  <c r="L350" i="1"/>
  <c r="R350" i="1" s="1"/>
  <c r="L351" i="1"/>
  <c r="L352" i="1"/>
  <c r="R352" i="1" s="1"/>
  <c r="L353" i="1"/>
  <c r="R353" i="1" s="1"/>
  <c r="L354" i="1"/>
  <c r="L355" i="1"/>
  <c r="L356" i="1"/>
  <c r="R356" i="1" s="1"/>
  <c r="L357" i="1"/>
  <c r="R357" i="1" s="1"/>
  <c r="L358" i="1"/>
  <c r="R358" i="1" s="1"/>
  <c r="L359" i="1"/>
  <c r="R359" i="1" s="1"/>
  <c r="L360" i="1"/>
  <c r="L361" i="1"/>
  <c r="L362" i="1"/>
  <c r="R362" i="1" s="1"/>
  <c r="L363" i="1"/>
  <c r="L364" i="1"/>
  <c r="R364" i="1" s="1"/>
  <c r="L365" i="1"/>
  <c r="R365" i="1" s="1"/>
  <c r="L366" i="1"/>
  <c r="R366" i="1" s="1"/>
  <c r="L367" i="1"/>
  <c r="L368" i="1"/>
  <c r="R368" i="1" s="1"/>
  <c r="L369" i="1"/>
  <c r="R369" i="1" s="1"/>
  <c r="L370" i="1"/>
  <c r="L371" i="1"/>
  <c r="R371" i="1" s="1"/>
  <c r="L372" i="1"/>
  <c r="R372" i="1" s="1"/>
  <c r="L373" i="1"/>
  <c r="R373" i="1" s="1"/>
  <c r="L374" i="1"/>
  <c r="L375" i="1"/>
  <c r="R375" i="1" s="1"/>
  <c r="L376" i="1"/>
  <c r="R376" i="1" s="1"/>
  <c r="L377" i="1"/>
  <c r="R377" i="1" s="1"/>
  <c r="L378" i="1"/>
  <c r="L379" i="1"/>
  <c r="R379" i="1" s="1"/>
  <c r="L380" i="1"/>
  <c r="R380" i="1" s="1"/>
  <c r="L381" i="1"/>
  <c r="L382" i="1"/>
  <c r="R382" i="1" s="1"/>
  <c r="L383" i="1"/>
  <c r="R383" i="1" s="1"/>
  <c r="L384" i="1"/>
  <c r="R384" i="1" s="1"/>
  <c r="L385" i="1"/>
  <c r="L386" i="1"/>
  <c r="L387" i="1"/>
  <c r="R387" i="1" s="1"/>
  <c r="L388" i="1"/>
  <c r="R388" i="1" s="1"/>
  <c r="L389" i="1"/>
  <c r="R389" i="1" s="1"/>
  <c r="L390" i="1"/>
  <c r="R390" i="1" s="1"/>
  <c r="L391" i="1"/>
  <c r="L392" i="1"/>
  <c r="R392" i="1" s="1"/>
  <c r="L393" i="1"/>
  <c r="R393" i="1" s="1"/>
  <c r="L394" i="1"/>
  <c r="R394" i="1" s="1"/>
  <c r="L395" i="1"/>
  <c r="R395" i="1" s="1"/>
  <c r="L396" i="1"/>
  <c r="R396" i="1" s="1"/>
  <c r="L397" i="1"/>
  <c r="L398" i="1"/>
  <c r="L399" i="1"/>
  <c r="R399" i="1" s="1"/>
  <c r="L400" i="1"/>
  <c r="L401" i="1"/>
  <c r="R401" i="1" s="1"/>
  <c r="L402" i="1"/>
  <c r="R402" i="1" s="1"/>
  <c r="L403" i="1"/>
  <c r="R403" i="1" s="1"/>
  <c r="L404" i="1"/>
  <c r="L405" i="1"/>
  <c r="R405" i="1" s="1"/>
  <c r="L406" i="1"/>
  <c r="R406" i="1" s="1"/>
  <c r="L407" i="1"/>
  <c r="L408" i="1"/>
  <c r="R408" i="1" s="1"/>
  <c r="L409" i="1"/>
  <c r="R409" i="1" s="1"/>
  <c r="L410" i="1"/>
  <c r="R410" i="1" s="1"/>
  <c r="L411" i="1"/>
  <c r="R411" i="1" s="1"/>
  <c r="L412" i="1"/>
  <c r="R412" i="1" s="1"/>
  <c r="L413" i="1"/>
  <c r="L414" i="1"/>
  <c r="L415" i="1"/>
  <c r="L416" i="1"/>
  <c r="R416" i="1" s="1"/>
  <c r="L417" i="1"/>
  <c r="R417" i="1" s="1"/>
  <c r="L418" i="1"/>
  <c r="L419" i="1"/>
  <c r="R419" i="1" s="1"/>
  <c r="L420" i="1"/>
  <c r="R420" i="1" s="1"/>
  <c r="L421" i="1"/>
  <c r="R421" i="1" s="1"/>
  <c r="L422" i="1"/>
  <c r="R422" i="1" s="1"/>
  <c r="L423" i="1"/>
  <c r="L424" i="1"/>
  <c r="L425" i="1"/>
  <c r="L426" i="1"/>
  <c r="R426" i="1" s="1"/>
  <c r="L427" i="1"/>
  <c r="L428" i="1"/>
  <c r="L429" i="1"/>
  <c r="R429" i="1" s="1"/>
  <c r="L430" i="1"/>
  <c r="L431" i="1"/>
  <c r="R431" i="1" s="1"/>
  <c r="L432" i="1"/>
  <c r="L433" i="1"/>
  <c r="L434" i="1"/>
  <c r="L435" i="1"/>
  <c r="L436" i="1"/>
  <c r="R436" i="1" s="1"/>
  <c r="L437" i="1"/>
  <c r="L438" i="1"/>
  <c r="R438" i="1" s="1"/>
  <c r="L439" i="1"/>
  <c r="L440" i="1"/>
  <c r="R440" i="1" s="1"/>
  <c r="L441" i="1"/>
  <c r="R441" i="1" s="1"/>
  <c r="L442" i="1"/>
  <c r="L443" i="1"/>
  <c r="L444" i="1"/>
  <c r="L445" i="1"/>
  <c r="L446" i="1"/>
  <c r="R446" i="1" s="1"/>
  <c r="L447" i="1"/>
  <c r="L448" i="1"/>
  <c r="L449" i="1"/>
  <c r="L450" i="1"/>
  <c r="R450" i="1" s="1"/>
  <c r="L451" i="1"/>
  <c r="R451" i="1" s="1"/>
  <c r="L452" i="1"/>
  <c r="R452" i="1" s="1"/>
  <c r="L453" i="1"/>
  <c r="R453" i="1" s="1"/>
  <c r="L454" i="1"/>
  <c r="R454" i="1" s="1"/>
  <c r="L455" i="1"/>
  <c r="R455" i="1" s="1"/>
  <c r="L456" i="1"/>
  <c r="R456" i="1" s="1"/>
  <c r="L457" i="1"/>
  <c r="R457" i="1" s="1"/>
  <c r="L458" i="1"/>
  <c r="R458" i="1" s="1"/>
  <c r="L459" i="1"/>
  <c r="R459" i="1" s="1"/>
  <c r="L460" i="1"/>
  <c r="R460" i="1" s="1"/>
  <c r="L461" i="1"/>
  <c r="R461" i="1" s="1"/>
  <c r="L462" i="1"/>
  <c r="R462" i="1" s="1"/>
  <c r="L463" i="1"/>
  <c r="L464" i="1"/>
  <c r="L465" i="1"/>
  <c r="L466" i="1"/>
  <c r="R466" i="1" s="1"/>
  <c r="L467" i="1"/>
  <c r="L468" i="1"/>
  <c r="L469" i="1"/>
  <c r="L470" i="1"/>
  <c r="L471" i="1"/>
  <c r="L472" i="1"/>
  <c r="R472" i="1" s="1"/>
  <c r="L473" i="1"/>
  <c r="R473" i="1" s="1"/>
  <c r="L474" i="1"/>
  <c r="R474" i="1" s="1"/>
  <c r="L475" i="1"/>
  <c r="R475" i="1" s="1"/>
  <c r="L476" i="1"/>
  <c r="R476" i="1" s="1"/>
  <c r="L477" i="1"/>
  <c r="L478" i="1"/>
  <c r="R478" i="1" s="1"/>
  <c r="L479" i="1"/>
  <c r="L480" i="1"/>
  <c r="R480" i="1" s="1"/>
  <c r="L481" i="1"/>
  <c r="R481" i="1" s="1"/>
  <c r="L482" i="1"/>
  <c r="R482" i="1" s="1"/>
  <c r="L483" i="1"/>
  <c r="R483" i="1" s="1"/>
  <c r="L484" i="1"/>
  <c r="R484" i="1" s="1"/>
  <c r="L485" i="1"/>
  <c r="L486" i="1"/>
  <c r="R486" i="1" s="1"/>
  <c r="L487" i="1"/>
  <c r="R487" i="1" s="1"/>
  <c r="L488" i="1"/>
  <c r="L489" i="1"/>
  <c r="L490" i="1"/>
  <c r="R490" i="1" s="1"/>
  <c r="L491" i="1"/>
  <c r="R491" i="1" s="1"/>
  <c r="L492" i="1"/>
  <c r="R492" i="1" s="1"/>
  <c r="L493" i="1"/>
  <c r="L494" i="1"/>
  <c r="L495" i="1"/>
  <c r="L496" i="1"/>
  <c r="R496" i="1" s="1"/>
  <c r="L497" i="1"/>
  <c r="L498" i="1"/>
  <c r="R498" i="1" s="1"/>
  <c r="L499" i="1"/>
  <c r="R499" i="1" s="1"/>
  <c r="L500" i="1"/>
  <c r="L501" i="1"/>
  <c r="L502" i="1"/>
  <c r="R502" i="1" s="1"/>
  <c r="L503" i="1"/>
  <c r="R503" i="1" s="1"/>
  <c r="L504" i="1"/>
  <c r="L505" i="1"/>
  <c r="R505" i="1" s="1"/>
  <c r="L506" i="1"/>
  <c r="R506" i="1" s="1"/>
  <c r="L507" i="1"/>
  <c r="R507" i="1" s="1"/>
  <c r="L508" i="1"/>
  <c r="R508" i="1" s="1"/>
  <c r="L509" i="1"/>
  <c r="R509" i="1" s="1"/>
  <c r="L510" i="1"/>
  <c r="R510" i="1" s="1"/>
  <c r="L511" i="1"/>
  <c r="R511" i="1" s="1"/>
  <c r="L512" i="1"/>
  <c r="R512" i="1" s="1"/>
  <c r="L513" i="1"/>
  <c r="L514" i="1"/>
  <c r="R514" i="1" s="1"/>
  <c r="L515" i="1"/>
  <c r="L516" i="1"/>
  <c r="R516" i="1" s="1"/>
  <c r="L517" i="1"/>
  <c r="R517" i="1" s="1"/>
  <c r="L518" i="1"/>
  <c r="L519" i="1"/>
  <c r="R519" i="1" s="1"/>
  <c r="L520" i="1"/>
  <c r="R520" i="1" s="1"/>
  <c r="L521" i="1"/>
  <c r="R521" i="1" s="1"/>
  <c r="L522" i="1"/>
  <c r="L523" i="1"/>
  <c r="R523" i="1" s="1"/>
  <c r="L524" i="1"/>
  <c r="L525" i="1"/>
  <c r="R525" i="1" s="1"/>
  <c r="L526" i="1"/>
  <c r="R526" i="1" s="1"/>
  <c r="L527" i="1"/>
  <c r="R527" i="1" s="1"/>
  <c r="L528" i="1"/>
  <c r="L529" i="1"/>
  <c r="R529" i="1" s="1"/>
  <c r="L530" i="1"/>
  <c r="R530" i="1" s="1"/>
  <c r="L531" i="1"/>
  <c r="R531" i="1" s="1"/>
  <c r="L532" i="1"/>
  <c r="R532" i="1" s="1"/>
  <c r="L533" i="1"/>
  <c r="L534" i="1"/>
  <c r="R534" i="1" s="1"/>
  <c r="L535" i="1"/>
  <c r="L536" i="1"/>
  <c r="L537" i="1"/>
  <c r="R537" i="1" s="1"/>
  <c r="L538" i="1"/>
  <c r="L539" i="1"/>
  <c r="R539" i="1" s="1"/>
  <c r="L540" i="1"/>
  <c r="R540" i="1" s="1"/>
  <c r="L541" i="1"/>
  <c r="R541" i="1" s="1"/>
  <c r="L542" i="1"/>
  <c r="R542" i="1" s="1"/>
  <c r="L543" i="1"/>
  <c r="R543" i="1" s="1"/>
  <c r="L544" i="1"/>
  <c r="R544" i="1" s="1"/>
  <c r="L545" i="1"/>
  <c r="L546" i="1"/>
  <c r="L547" i="1"/>
  <c r="R547" i="1" s="1"/>
  <c r="L548" i="1"/>
  <c r="L549" i="1"/>
  <c r="R549" i="1" s="1"/>
  <c r="L550" i="1"/>
  <c r="R550" i="1" s="1"/>
  <c r="L551" i="1"/>
  <c r="R551" i="1" s="1"/>
  <c r="L552" i="1"/>
  <c r="R552" i="1" s="1"/>
  <c r="L553" i="1"/>
  <c r="R553" i="1" s="1"/>
  <c r="L554" i="1"/>
  <c r="R554" i="1" s="1"/>
  <c r="L555" i="1"/>
  <c r="R555" i="1" s="1"/>
  <c r="L556" i="1"/>
  <c r="R556" i="1" s="1"/>
  <c r="L557" i="1"/>
  <c r="R557" i="1" s="1"/>
  <c r="L558" i="1"/>
  <c r="R558" i="1" s="1"/>
  <c r="L559" i="1"/>
  <c r="L560" i="1"/>
  <c r="R560" i="1" s="1"/>
  <c r="L561" i="1"/>
  <c r="L562" i="1"/>
  <c r="R562" i="1" s="1"/>
  <c r="L563" i="1"/>
  <c r="R563" i="1" s="1"/>
  <c r="L564" i="1"/>
  <c r="R564" i="1" s="1"/>
  <c r="L565" i="1"/>
  <c r="R565" i="1" s="1"/>
  <c r="L566" i="1"/>
  <c r="L567" i="1"/>
  <c r="R567" i="1" s="1"/>
  <c r="L568" i="1"/>
  <c r="R568" i="1" s="1"/>
  <c r="L569" i="1"/>
  <c r="R569" i="1" s="1"/>
  <c r="L570" i="1"/>
  <c r="R570" i="1" s="1"/>
  <c r="L571" i="1"/>
  <c r="L572" i="1"/>
  <c r="L573" i="1"/>
  <c r="L574" i="1"/>
  <c r="R574" i="1" s="1"/>
  <c r="L575" i="1"/>
  <c r="R575" i="1" s="1"/>
  <c r="L576" i="1"/>
  <c r="L577" i="1"/>
  <c r="R577" i="1" s="1"/>
  <c r="L578" i="1"/>
  <c r="R578" i="1" s="1"/>
  <c r="L579" i="1"/>
  <c r="L580" i="1"/>
  <c r="R580" i="1" s="1"/>
  <c r="L581" i="1"/>
  <c r="L582" i="1"/>
  <c r="R582" i="1" s="1"/>
  <c r="L583" i="1"/>
  <c r="L584" i="1"/>
  <c r="L585" i="1"/>
  <c r="R585" i="1" s="1"/>
  <c r="L586" i="1"/>
  <c r="R586" i="1" s="1"/>
  <c r="L587" i="1"/>
  <c r="L588" i="1"/>
  <c r="L589" i="1"/>
  <c r="R589" i="1" s="1"/>
  <c r="L590" i="1"/>
  <c r="R590" i="1" s="1"/>
  <c r="L591" i="1"/>
  <c r="L592" i="1"/>
  <c r="L593" i="1"/>
  <c r="L595" i="1"/>
  <c r="L596" i="1"/>
  <c r="R596" i="1" s="1"/>
  <c r="L597" i="1"/>
  <c r="L598" i="1"/>
  <c r="L599" i="1"/>
  <c r="R599" i="1" s="1"/>
  <c r="L600" i="1"/>
  <c r="R600" i="1" s="1"/>
  <c r="L601" i="1"/>
  <c r="R601" i="1" s="1"/>
  <c r="L602" i="1"/>
  <c r="R602" i="1" s="1"/>
  <c r="L603" i="1"/>
  <c r="R603" i="1" s="1"/>
  <c r="L604" i="1"/>
  <c r="R604" i="1" s="1"/>
  <c r="L605" i="1"/>
  <c r="L606" i="1"/>
  <c r="R606" i="1" s="1"/>
  <c r="L607" i="1"/>
  <c r="L608" i="1"/>
  <c r="R608" i="1" s="1"/>
  <c r="L609" i="1"/>
  <c r="R609" i="1" s="1"/>
  <c r="L610" i="1"/>
  <c r="L611" i="1"/>
  <c r="R611" i="1" s="1"/>
  <c r="L612" i="1"/>
  <c r="R612" i="1" s="1"/>
  <c r="L613" i="1"/>
  <c r="R613" i="1" s="1"/>
  <c r="L614" i="1"/>
  <c r="R614" i="1" s="1"/>
  <c r="L615" i="1"/>
  <c r="R615" i="1" s="1"/>
  <c r="L616" i="1"/>
  <c r="R616" i="1" s="1"/>
  <c r="L617" i="1"/>
  <c r="L618" i="1"/>
  <c r="R618" i="1" s="1"/>
  <c r="L619" i="1"/>
  <c r="L620" i="1"/>
  <c r="R620" i="1" s="1"/>
  <c r="L621" i="1"/>
  <c r="R621" i="1" s="1"/>
  <c r="L622" i="1"/>
  <c r="R622" i="1" s="1"/>
  <c r="L623" i="1"/>
  <c r="R623" i="1" s="1"/>
  <c r="L624" i="1"/>
  <c r="R624" i="1" s="1"/>
  <c r="L625" i="1"/>
  <c r="R625" i="1" s="1"/>
  <c r="L626" i="1"/>
  <c r="R626" i="1" s="1"/>
  <c r="L627" i="1"/>
  <c r="R627" i="1" s="1"/>
  <c r="L628" i="1"/>
  <c r="R628" i="1" s="1"/>
  <c r="L629" i="1"/>
  <c r="L630" i="1"/>
  <c r="R630" i="1" s="1"/>
  <c r="L631" i="1"/>
  <c r="R631" i="1" s="1"/>
  <c r="L632" i="1"/>
  <c r="R632" i="1" s="1"/>
  <c r="L633" i="1"/>
  <c r="R633" i="1" s="1"/>
  <c r="L634" i="1"/>
  <c r="R634" i="1" s="1"/>
  <c r="L635" i="1"/>
  <c r="R635" i="1" s="1"/>
  <c r="L636" i="1"/>
  <c r="R636" i="1" s="1"/>
  <c r="L637" i="1"/>
  <c r="L638" i="1"/>
  <c r="R638" i="1" s="1"/>
  <c r="L639" i="1"/>
  <c r="R639" i="1" s="1"/>
  <c r="L640" i="1"/>
  <c r="R640" i="1" s="1"/>
  <c r="L641" i="1"/>
  <c r="L642" i="1"/>
  <c r="R642" i="1" s="1"/>
  <c r="L643" i="1"/>
  <c r="R643" i="1" s="1"/>
  <c r="L644" i="1"/>
  <c r="R644" i="1" s="1"/>
  <c r="L645" i="1"/>
  <c r="L646" i="1"/>
  <c r="L647" i="1"/>
  <c r="R647" i="1" s="1"/>
  <c r="L648" i="1"/>
  <c r="R648" i="1" s="1"/>
  <c r="L649" i="1"/>
  <c r="L650" i="1"/>
  <c r="L651" i="1"/>
  <c r="L652" i="1"/>
  <c r="L653" i="1"/>
  <c r="L654" i="1"/>
  <c r="L655" i="1"/>
  <c r="R655" i="1" s="1"/>
  <c r="L656" i="1"/>
  <c r="L657" i="1"/>
  <c r="R657" i="1" s="1"/>
  <c r="L658" i="1"/>
  <c r="L659" i="1"/>
  <c r="L660" i="1"/>
  <c r="L661" i="1"/>
  <c r="L662" i="1"/>
  <c r="R662" i="1" s="1"/>
  <c r="L663" i="1"/>
  <c r="R663" i="1" s="1"/>
  <c r="L664" i="1"/>
  <c r="R664" i="1" s="1"/>
  <c r="L665" i="1"/>
  <c r="R665" i="1" s="1"/>
  <c r="L666" i="1"/>
  <c r="R666" i="1" s="1"/>
  <c r="L667" i="1"/>
  <c r="L668" i="1"/>
  <c r="L669" i="1"/>
  <c r="R669" i="1" s="1"/>
  <c r="L670" i="1"/>
  <c r="R670" i="1" s="1"/>
  <c r="L671" i="1"/>
  <c r="R671" i="1" s="1"/>
  <c r="L672" i="1"/>
  <c r="L673" i="1"/>
  <c r="R673" i="1" s="1"/>
  <c r="L674" i="1"/>
  <c r="R674" i="1" s="1"/>
  <c r="L675" i="1"/>
  <c r="R675" i="1" s="1"/>
  <c r="L676" i="1"/>
  <c r="R676" i="1" s="1"/>
  <c r="L677" i="1"/>
  <c r="R677" i="1" s="1"/>
  <c r="L678" i="1"/>
  <c r="R678" i="1" s="1"/>
  <c r="L679" i="1"/>
  <c r="L680" i="1"/>
  <c r="L681" i="1"/>
  <c r="R681" i="1" s="1"/>
  <c r="L682" i="1"/>
  <c r="R682" i="1" s="1"/>
  <c r="L683" i="1"/>
  <c r="R683" i="1" s="1"/>
  <c r="L684" i="1"/>
  <c r="L685" i="1"/>
  <c r="R685" i="1" s="1"/>
  <c r="L686" i="1"/>
  <c r="L687" i="1"/>
  <c r="L688" i="1"/>
  <c r="R688" i="1" s="1"/>
  <c r="L689" i="1"/>
  <c r="L690" i="1"/>
  <c r="L691" i="1"/>
  <c r="L692" i="1"/>
  <c r="L693" i="1"/>
  <c r="L694" i="1"/>
  <c r="L695" i="1"/>
  <c r="R695" i="1" s="1"/>
  <c r="L696" i="1"/>
  <c r="R696" i="1" s="1"/>
  <c r="L697" i="1"/>
  <c r="R697" i="1" s="1"/>
  <c r="L698" i="1"/>
  <c r="R698" i="1" s="1"/>
  <c r="L699" i="1"/>
  <c r="R699" i="1" s="1"/>
  <c r="L700" i="1"/>
  <c r="R700" i="1" s="1"/>
  <c r="L701" i="1"/>
  <c r="R701" i="1" s="1"/>
  <c r="L702" i="1"/>
  <c r="L703" i="1"/>
  <c r="R703" i="1" s="1"/>
  <c r="L704" i="1"/>
  <c r="R704" i="1" s="1"/>
  <c r="L705" i="1"/>
  <c r="L706" i="1"/>
  <c r="L707" i="1"/>
  <c r="L708" i="1"/>
  <c r="R708" i="1" s="1"/>
  <c r="L709" i="1"/>
  <c r="R709" i="1" s="1"/>
  <c r="L710" i="1"/>
  <c r="R710" i="1" s="1"/>
  <c r="L711" i="1"/>
  <c r="R711" i="1" s="1"/>
  <c r="L712" i="1"/>
  <c r="L713" i="1"/>
  <c r="L714" i="1"/>
  <c r="R714" i="1" s="1"/>
  <c r="L715" i="1"/>
  <c r="R715" i="1" s="1"/>
  <c r="L716" i="1"/>
  <c r="R716" i="1" s="1"/>
  <c r="L717" i="1"/>
  <c r="L718" i="1"/>
  <c r="L719" i="1"/>
  <c r="R719" i="1" s="1"/>
  <c r="L720" i="1"/>
  <c r="L721" i="1"/>
  <c r="L722" i="1"/>
  <c r="L723" i="1"/>
  <c r="R723" i="1" s="1"/>
  <c r="L724" i="1"/>
  <c r="R724" i="1" s="1"/>
  <c r="L725" i="1"/>
  <c r="L726" i="1"/>
  <c r="L727" i="1"/>
  <c r="R727" i="1" s="1"/>
  <c r="L728" i="1"/>
  <c r="R728" i="1" s="1"/>
  <c r="L729" i="1"/>
  <c r="R729" i="1" s="1"/>
  <c r="L730" i="1"/>
  <c r="R730" i="1" s="1"/>
  <c r="L731" i="1"/>
  <c r="R731" i="1" s="1"/>
  <c r="L732" i="1"/>
  <c r="R732" i="1" s="1"/>
  <c r="L733" i="1"/>
  <c r="L734" i="1"/>
  <c r="R734" i="1" s="1"/>
  <c r="L735" i="1"/>
  <c r="L736" i="1"/>
  <c r="L737" i="1"/>
  <c r="R737" i="1" s="1"/>
  <c r="L738" i="1"/>
  <c r="R738" i="1" s="1"/>
  <c r="L739" i="1"/>
  <c r="L740" i="1"/>
  <c r="R740" i="1" s="1"/>
  <c r="L741" i="1"/>
  <c r="R741" i="1" s="1"/>
  <c r="L742" i="1"/>
  <c r="R742" i="1" s="1"/>
  <c r="L743" i="1"/>
  <c r="R743" i="1" s="1"/>
  <c r="L744" i="1"/>
  <c r="L745" i="1"/>
  <c r="R745" i="1" s="1"/>
  <c r="L746" i="1"/>
  <c r="R746" i="1" s="1"/>
  <c r="L747" i="1"/>
  <c r="L748" i="1"/>
  <c r="R748" i="1" s="1"/>
  <c r="L749" i="1"/>
  <c r="L750" i="1"/>
  <c r="R750" i="1" s="1"/>
  <c r="L751" i="1"/>
  <c r="R751" i="1" s="1"/>
  <c r="L752" i="1"/>
  <c r="L753" i="1"/>
  <c r="L754" i="1"/>
  <c r="L755" i="1"/>
  <c r="R755" i="1" s="1"/>
  <c r="L756" i="1"/>
  <c r="L757" i="1"/>
  <c r="L758" i="1"/>
  <c r="L759" i="1"/>
  <c r="R759" i="1" s="1"/>
  <c r="L760" i="1"/>
  <c r="R760" i="1" s="1"/>
  <c r="L761" i="1"/>
  <c r="L762" i="1"/>
  <c r="R762" i="1" s="1"/>
  <c r="L763" i="1"/>
  <c r="R763" i="1" s="1"/>
  <c r="L764" i="1"/>
  <c r="R764" i="1" s="1"/>
  <c r="L765" i="1"/>
  <c r="R765" i="1" s="1"/>
  <c r="L766" i="1"/>
  <c r="L767" i="1"/>
  <c r="L768" i="1"/>
  <c r="R768" i="1" s="1"/>
  <c r="L769" i="1"/>
  <c r="R769" i="1" s="1"/>
  <c r="L770" i="1"/>
  <c r="R770" i="1" s="1"/>
  <c r="L771" i="1"/>
  <c r="L772" i="1"/>
  <c r="L773" i="1"/>
  <c r="R773" i="1" s="1"/>
  <c r="L774" i="1"/>
  <c r="R774" i="1" s="1"/>
  <c r="L775" i="1"/>
  <c r="L776" i="1"/>
  <c r="R776" i="1" s="1"/>
  <c r="L777" i="1"/>
  <c r="R777" i="1" s="1"/>
  <c r="L778" i="1"/>
  <c r="R778" i="1" s="1"/>
  <c r="B2" i="4" l="1"/>
  <c r="O260" i="1"/>
  <c r="P260" i="1" s="1"/>
  <c r="O68" i="1"/>
  <c r="P68" i="1" s="1"/>
  <c r="O750" i="1"/>
  <c r="P750" i="1" s="1"/>
  <c r="O778" i="1"/>
  <c r="P778" i="1" s="1"/>
  <c r="O774" i="1"/>
  <c r="P774" i="1" s="1"/>
  <c r="O770" i="1"/>
  <c r="P770" i="1" s="1"/>
  <c r="O766" i="1"/>
  <c r="P766" i="1" s="1"/>
  <c r="O762" i="1"/>
  <c r="P762" i="1" s="1"/>
  <c r="O758" i="1"/>
  <c r="P758" i="1" s="1"/>
  <c r="O754" i="1"/>
  <c r="P754" i="1" s="1"/>
  <c r="O746" i="1"/>
  <c r="P746" i="1" s="1"/>
  <c r="O742" i="1"/>
  <c r="P742" i="1" s="1"/>
  <c r="O738" i="1"/>
  <c r="P738" i="1" s="1"/>
  <c r="O734" i="1"/>
  <c r="P734" i="1" s="1"/>
  <c r="O730" i="1"/>
  <c r="P730" i="1" s="1"/>
  <c r="O726" i="1"/>
  <c r="P726" i="1" s="1"/>
  <c r="O722" i="1"/>
  <c r="P722" i="1" s="1"/>
  <c r="O718" i="1"/>
  <c r="P718" i="1" s="1"/>
  <c r="O714" i="1"/>
  <c r="P714" i="1" s="1"/>
  <c r="O710" i="1"/>
  <c r="P710" i="1" s="1"/>
  <c r="O706" i="1"/>
  <c r="P706" i="1" s="1"/>
  <c r="O702" i="1"/>
  <c r="P702" i="1" s="1"/>
  <c r="O686" i="1"/>
  <c r="P686" i="1" s="1"/>
  <c r="O622" i="1"/>
  <c r="P622" i="1" s="1"/>
  <c r="O510" i="1"/>
  <c r="P510" i="1" s="1"/>
  <c r="O776" i="1"/>
  <c r="P776" i="1" s="1"/>
  <c r="O772" i="1"/>
  <c r="P772" i="1" s="1"/>
  <c r="O768" i="1"/>
  <c r="P768" i="1" s="1"/>
  <c r="O764" i="1"/>
  <c r="P764" i="1" s="1"/>
  <c r="O760" i="1"/>
  <c r="P760" i="1" s="1"/>
  <c r="O756" i="1"/>
  <c r="P756" i="1" s="1"/>
  <c r="O752" i="1"/>
  <c r="P752" i="1" s="1"/>
  <c r="O748" i="1"/>
  <c r="P748" i="1" s="1"/>
  <c r="O744" i="1"/>
  <c r="P744" i="1" s="1"/>
  <c r="O740" i="1"/>
  <c r="P740" i="1" s="1"/>
  <c r="O736" i="1"/>
  <c r="P736" i="1" s="1"/>
  <c r="O732" i="1"/>
  <c r="P732" i="1" s="1"/>
  <c r="O728" i="1"/>
  <c r="P728" i="1" s="1"/>
  <c r="O724" i="1"/>
  <c r="P724" i="1" s="1"/>
  <c r="O720" i="1"/>
  <c r="P720" i="1" s="1"/>
  <c r="O716" i="1"/>
  <c r="P716" i="1" s="1"/>
  <c r="O712" i="1"/>
  <c r="P712" i="1" s="1"/>
  <c r="O708" i="1"/>
  <c r="P708" i="1" s="1"/>
  <c r="O704" i="1"/>
  <c r="P704" i="1" s="1"/>
  <c r="O700" i="1"/>
  <c r="P700" i="1" s="1"/>
  <c r="O696" i="1"/>
  <c r="P696" i="1" s="1"/>
  <c r="O692" i="1"/>
  <c r="P692" i="1" s="1"/>
  <c r="O688" i="1"/>
  <c r="P688" i="1" s="1"/>
  <c r="O684" i="1"/>
  <c r="P684" i="1" s="1"/>
  <c r="O680" i="1"/>
  <c r="P680" i="1" s="1"/>
  <c r="O676" i="1"/>
  <c r="P676" i="1" s="1"/>
  <c r="O672" i="1"/>
  <c r="P672" i="1" s="1"/>
  <c r="O668" i="1"/>
  <c r="P668" i="1" s="1"/>
  <c r="O664" i="1"/>
  <c r="P664" i="1" s="1"/>
  <c r="O660" i="1"/>
  <c r="P660" i="1" s="1"/>
  <c r="O656" i="1"/>
  <c r="P656" i="1" s="1"/>
  <c r="O324" i="1"/>
  <c r="P324" i="1" s="1"/>
  <c r="O196" i="1"/>
  <c r="P196" i="1" s="1"/>
  <c r="O132" i="1"/>
  <c r="P132" i="1" s="1"/>
  <c r="O698" i="1"/>
  <c r="P698" i="1" s="1"/>
  <c r="O694" i="1"/>
  <c r="P694" i="1" s="1"/>
  <c r="O690" i="1"/>
  <c r="P690" i="1" s="1"/>
  <c r="O682" i="1"/>
  <c r="P682" i="1" s="1"/>
  <c r="O678" i="1"/>
  <c r="P678" i="1" s="1"/>
  <c r="O674" i="1"/>
  <c r="P674" i="1" s="1"/>
  <c r="O670" i="1"/>
  <c r="P670" i="1" s="1"/>
  <c r="O666" i="1"/>
  <c r="P666" i="1" s="1"/>
  <c r="O662" i="1"/>
  <c r="P662" i="1" s="1"/>
  <c r="O658" i="1"/>
  <c r="P658" i="1" s="1"/>
  <c r="O654" i="1"/>
  <c r="P654" i="1" s="1"/>
  <c r="O650" i="1"/>
  <c r="P650" i="1" s="1"/>
  <c r="O646" i="1"/>
  <c r="P646" i="1" s="1"/>
  <c r="O642" i="1"/>
  <c r="P642" i="1" s="1"/>
  <c r="O638" i="1"/>
  <c r="P638" i="1" s="1"/>
  <c r="O634" i="1"/>
  <c r="P634" i="1" s="1"/>
  <c r="O630" i="1"/>
  <c r="P630" i="1" s="1"/>
  <c r="O626" i="1"/>
  <c r="P626" i="1" s="1"/>
  <c r="O618" i="1"/>
  <c r="P618" i="1" s="1"/>
  <c r="O614" i="1"/>
  <c r="P614" i="1" s="1"/>
  <c r="O610" i="1"/>
  <c r="P610" i="1" s="1"/>
  <c r="O606" i="1"/>
  <c r="P606" i="1" s="1"/>
  <c r="O602" i="1"/>
  <c r="P602" i="1" s="1"/>
  <c r="O598" i="1"/>
  <c r="P598" i="1" s="1"/>
  <c r="O594" i="1"/>
  <c r="P594" i="1" s="1"/>
  <c r="O590" i="1"/>
  <c r="P590" i="1" s="1"/>
  <c r="O586" i="1"/>
  <c r="P586" i="1" s="1"/>
  <c r="O582" i="1"/>
  <c r="P582" i="1" s="1"/>
  <c r="O578" i="1"/>
  <c r="P578" i="1" s="1"/>
  <c r="O574" i="1"/>
  <c r="P574" i="1" s="1"/>
  <c r="O570" i="1"/>
  <c r="P570" i="1" s="1"/>
  <c r="O566" i="1"/>
  <c r="P566" i="1" s="1"/>
  <c r="O562" i="1"/>
  <c r="P562" i="1" s="1"/>
  <c r="O558" i="1"/>
  <c r="P558" i="1" s="1"/>
  <c r="O554" i="1"/>
  <c r="P554" i="1" s="1"/>
  <c r="O550" i="1"/>
  <c r="P550" i="1" s="1"/>
  <c r="O546" i="1"/>
  <c r="P546" i="1" s="1"/>
  <c r="O542" i="1"/>
  <c r="P542" i="1" s="1"/>
  <c r="O538" i="1"/>
  <c r="P538" i="1" s="1"/>
  <c r="O534" i="1"/>
  <c r="P534" i="1" s="1"/>
  <c r="O530" i="1"/>
  <c r="P530" i="1" s="1"/>
  <c r="O526" i="1"/>
  <c r="P526" i="1" s="1"/>
  <c r="O522" i="1"/>
  <c r="P522" i="1" s="1"/>
  <c r="O518" i="1"/>
  <c r="P518" i="1" s="1"/>
  <c r="O514" i="1"/>
  <c r="P514" i="1" s="1"/>
  <c r="O506" i="1"/>
  <c r="P506" i="1" s="1"/>
  <c r="O502" i="1"/>
  <c r="P502" i="1" s="1"/>
  <c r="O498" i="1"/>
  <c r="P498" i="1" s="1"/>
  <c r="O494" i="1"/>
  <c r="P494" i="1" s="1"/>
  <c r="O490" i="1"/>
  <c r="P490" i="1" s="1"/>
  <c r="O486" i="1"/>
  <c r="P486" i="1" s="1"/>
  <c r="O482" i="1"/>
  <c r="P482" i="1" s="1"/>
  <c r="O478" i="1"/>
  <c r="P478" i="1" s="1"/>
  <c r="O474" i="1"/>
  <c r="P474" i="1" s="1"/>
  <c r="O470" i="1"/>
  <c r="P470" i="1" s="1"/>
  <c r="O466" i="1"/>
  <c r="P466" i="1" s="1"/>
  <c r="O462" i="1"/>
  <c r="P462" i="1" s="1"/>
  <c r="O458" i="1"/>
  <c r="P458" i="1" s="1"/>
  <c r="O454" i="1"/>
  <c r="P454" i="1" s="1"/>
  <c r="O450" i="1"/>
  <c r="P450" i="1" s="1"/>
  <c r="O446" i="1"/>
  <c r="P446" i="1" s="1"/>
  <c r="O442" i="1"/>
  <c r="P442" i="1" s="1"/>
  <c r="O438" i="1"/>
  <c r="P438" i="1" s="1"/>
  <c r="O434" i="1"/>
  <c r="P434" i="1" s="1"/>
  <c r="O430" i="1"/>
  <c r="P430" i="1" s="1"/>
  <c r="O426" i="1"/>
  <c r="P426" i="1" s="1"/>
  <c r="O422" i="1"/>
  <c r="P422" i="1" s="1"/>
  <c r="O418" i="1"/>
  <c r="P418" i="1" s="1"/>
  <c r="O414" i="1"/>
  <c r="P414" i="1" s="1"/>
  <c r="O410" i="1"/>
  <c r="P410" i="1" s="1"/>
  <c r="O406" i="1"/>
  <c r="P406" i="1" s="1"/>
  <c r="O402" i="1"/>
  <c r="P402" i="1" s="1"/>
  <c r="O398" i="1"/>
  <c r="P398" i="1" s="1"/>
  <c r="O394" i="1"/>
  <c r="P394" i="1" s="1"/>
  <c r="O390" i="1"/>
  <c r="P390" i="1" s="1"/>
  <c r="O386" i="1"/>
  <c r="P386" i="1" s="1"/>
  <c r="O382" i="1"/>
  <c r="P382" i="1" s="1"/>
  <c r="O378" i="1"/>
  <c r="P378" i="1" s="1"/>
  <c r="O374" i="1"/>
  <c r="P374" i="1" s="1"/>
  <c r="O370" i="1"/>
  <c r="P370" i="1" s="1"/>
  <c r="O366" i="1"/>
  <c r="P366" i="1" s="1"/>
  <c r="O362" i="1"/>
  <c r="P362" i="1" s="1"/>
  <c r="O358" i="1"/>
  <c r="P358" i="1" s="1"/>
  <c r="O354" i="1"/>
  <c r="P354" i="1" s="1"/>
  <c r="O775" i="1"/>
  <c r="P775" i="1" s="1"/>
  <c r="O771" i="1"/>
  <c r="P771" i="1" s="1"/>
  <c r="O767" i="1"/>
  <c r="P767" i="1" s="1"/>
  <c r="O763" i="1"/>
  <c r="P763" i="1" s="1"/>
  <c r="O759" i="1"/>
  <c r="P759" i="1" s="1"/>
  <c r="O755" i="1"/>
  <c r="P755" i="1" s="1"/>
  <c r="O751" i="1"/>
  <c r="P751" i="1" s="1"/>
  <c r="O747" i="1"/>
  <c r="P747" i="1" s="1"/>
  <c r="O743" i="1"/>
  <c r="P743" i="1" s="1"/>
  <c r="O739" i="1"/>
  <c r="P739" i="1" s="1"/>
  <c r="O735" i="1"/>
  <c r="P735" i="1" s="1"/>
  <c r="O731" i="1"/>
  <c r="P731" i="1" s="1"/>
  <c r="O727" i="1"/>
  <c r="P727" i="1" s="1"/>
  <c r="O723" i="1"/>
  <c r="P723" i="1" s="1"/>
  <c r="O719" i="1"/>
  <c r="P719" i="1" s="1"/>
  <c r="O715" i="1"/>
  <c r="P715" i="1" s="1"/>
  <c r="O711" i="1"/>
  <c r="P711" i="1" s="1"/>
  <c r="O707" i="1"/>
  <c r="P707" i="1" s="1"/>
  <c r="O703" i="1"/>
  <c r="P703" i="1" s="1"/>
  <c r="O699" i="1"/>
  <c r="P699" i="1" s="1"/>
  <c r="O695" i="1"/>
  <c r="P695" i="1" s="1"/>
  <c r="O691" i="1"/>
  <c r="P691" i="1" s="1"/>
  <c r="O687" i="1"/>
  <c r="P687" i="1" s="1"/>
  <c r="O683" i="1"/>
  <c r="P683" i="1" s="1"/>
  <c r="O679" i="1"/>
  <c r="P679" i="1" s="1"/>
  <c r="O675" i="1"/>
  <c r="P675" i="1" s="1"/>
  <c r="O671" i="1"/>
  <c r="P671" i="1" s="1"/>
  <c r="O667" i="1"/>
  <c r="P667" i="1" s="1"/>
  <c r="O663" i="1"/>
  <c r="P663" i="1" s="1"/>
  <c r="O659" i="1"/>
  <c r="P659" i="1" s="1"/>
  <c r="O655" i="1"/>
  <c r="P655" i="1" s="1"/>
  <c r="O651" i="1"/>
  <c r="P651" i="1" s="1"/>
  <c r="O647" i="1"/>
  <c r="P647" i="1" s="1"/>
  <c r="O643" i="1"/>
  <c r="P643" i="1" s="1"/>
  <c r="O639" i="1"/>
  <c r="P639" i="1" s="1"/>
  <c r="O635" i="1"/>
  <c r="P635" i="1" s="1"/>
  <c r="O631" i="1"/>
  <c r="P631" i="1" s="1"/>
  <c r="O627" i="1"/>
  <c r="P627" i="1" s="1"/>
  <c r="O623" i="1"/>
  <c r="P623" i="1" s="1"/>
  <c r="O350" i="1"/>
  <c r="P350" i="1" s="1"/>
  <c r="O346" i="1"/>
  <c r="P346" i="1" s="1"/>
  <c r="O342" i="1"/>
  <c r="P342" i="1" s="1"/>
  <c r="O338" i="1"/>
  <c r="P338" i="1" s="1"/>
  <c r="O334" i="1"/>
  <c r="P334" i="1" s="1"/>
  <c r="O330" i="1"/>
  <c r="P330" i="1" s="1"/>
  <c r="O326" i="1"/>
  <c r="P326" i="1" s="1"/>
  <c r="O322" i="1"/>
  <c r="P322" i="1" s="1"/>
  <c r="O318" i="1"/>
  <c r="P318" i="1" s="1"/>
  <c r="O314" i="1"/>
  <c r="P314" i="1" s="1"/>
  <c r="O310" i="1"/>
  <c r="P310" i="1" s="1"/>
  <c r="O306" i="1"/>
  <c r="P306" i="1" s="1"/>
  <c r="O302" i="1"/>
  <c r="P302" i="1" s="1"/>
  <c r="O298" i="1"/>
  <c r="P298" i="1" s="1"/>
  <c r="O294" i="1"/>
  <c r="P294" i="1" s="1"/>
  <c r="O290" i="1"/>
  <c r="P290" i="1" s="1"/>
  <c r="O286" i="1"/>
  <c r="P286" i="1" s="1"/>
  <c r="O282" i="1"/>
  <c r="P282" i="1" s="1"/>
  <c r="O278" i="1"/>
  <c r="P278" i="1" s="1"/>
  <c r="O274" i="1"/>
  <c r="P274" i="1" s="1"/>
  <c r="O270" i="1"/>
  <c r="P270" i="1" s="1"/>
  <c r="O266" i="1"/>
  <c r="P266" i="1" s="1"/>
  <c r="O262" i="1"/>
  <c r="P262" i="1" s="1"/>
  <c r="O258" i="1"/>
  <c r="P258" i="1" s="1"/>
  <c r="O254" i="1"/>
  <c r="P254" i="1" s="1"/>
  <c r="O250" i="1"/>
  <c r="P250" i="1" s="1"/>
  <c r="O246" i="1"/>
  <c r="P246" i="1" s="1"/>
  <c r="O242" i="1"/>
  <c r="P242" i="1" s="1"/>
  <c r="O238" i="1"/>
  <c r="P238" i="1" s="1"/>
  <c r="O234" i="1"/>
  <c r="P234" i="1" s="1"/>
  <c r="O230" i="1"/>
  <c r="P230" i="1" s="1"/>
  <c r="O226" i="1"/>
  <c r="P226" i="1" s="1"/>
  <c r="O222" i="1"/>
  <c r="P222" i="1" s="1"/>
  <c r="O218" i="1"/>
  <c r="P218" i="1" s="1"/>
  <c r="O214" i="1"/>
  <c r="P214" i="1" s="1"/>
  <c r="O210" i="1"/>
  <c r="P210" i="1" s="1"/>
  <c r="O206" i="1"/>
  <c r="P206" i="1" s="1"/>
  <c r="O202" i="1"/>
  <c r="P202" i="1" s="1"/>
  <c r="O198" i="1"/>
  <c r="P198" i="1" s="1"/>
  <c r="O194" i="1"/>
  <c r="P194" i="1" s="1"/>
  <c r="O190" i="1"/>
  <c r="P190" i="1" s="1"/>
  <c r="O186" i="1"/>
  <c r="P186" i="1" s="1"/>
  <c r="O182" i="1"/>
  <c r="P182" i="1" s="1"/>
  <c r="O178" i="1"/>
  <c r="P178" i="1" s="1"/>
  <c r="O174" i="1"/>
  <c r="P174" i="1" s="1"/>
  <c r="O170" i="1"/>
  <c r="P170" i="1" s="1"/>
  <c r="O166" i="1"/>
  <c r="P166" i="1" s="1"/>
  <c r="O162" i="1"/>
  <c r="P162" i="1" s="1"/>
  <c r="O158" i="1"/>
  <c r="P158" i="1" s="1"/>
  <c r="O154" i="1"/>
  <c r="P154" i="1" s="1"/>
  <c r="O150" i="1"/>
  <c r="P150" i="1" s="1"/>
  <c r="O146" i="1"/>
  <c r="P146" i="1" s="1"/>
  <c r="O142" i="1"/>
  <c r="P142" i="1" s="1"/>
  <c r="O138" i="1"/>
  <c r="P138" i="1" s="1"/>
  <c r="O134" i="1"/>
  <c r="P134" i="1" s="1"/>
  <c r="O130" i="1"/>
  <c r="P130" i="1" s="1"/>
  <c r="O126" i="1"/>
  <c r="P126" i="1" s="1"/>
  <c r="O122" i="1"/>
  <c r="P122" i="1" s="1"/>
  <c r="O118" i="1"/>
  <c r="P118" i="1" s="1"/>
  <c r="O114" i="1"/>
  <c r="P114" i="1" s="1"/>
  <c r="O110" i="1"/>
  <c r="P110" i="1" s="1"/>
  <c r="O106" i="1"/>
  <c r="P106" i="1" s="1"/>
  <c r="O102" i="1"/>
  <c r="P102" i="1" s="1"/>
  <c r="O98" i="1"/>
  <c r="P98" i="1" s="1"/>
  <c r="O94" i="1"/>
  <c r="P94" i="1" s="1"/>
  <c r="O90" i="1"/>
  <c r="P90" i="1" s="1"/>
  <c r="O86" i="1"/>
  <c r="P86" i="1" s="1"/>
  <c r="O82" i="1"/>
  <c r="P82" i="1" s="1"/>
  <c r="O78" i="1"/>
  <c r="P78" i="1" s="1"/>
  <c r="O74" i="1"/>
  <c r="P74" i="1" s="1"/>
  <c r="O70" i="1"/>
  <c r="P70" i="1" s="1"/>
  <c r="O66" i="1"/>
  <c r="P66" i="1" s="1"/>
  <c r="O62" i="1"/>
  <c r="P62" i="1" s="1"/>
  <c r="O58" i="1"/>
  <c r="P58" i="1" s="1"/>
  <c r="O54" i="1"/>
  <c r="P54" i="1" s="1"/>
  <c r="O50" i="1"/>
  <c r="P50" i="1" s="1"/>
  <c r="O46" i="1"/>
  <c r="P46" i="1" s="1"/>
  <c r="O42" i="1"/>
  <c r="P42" i="1" s="1"/>
  <c r="O38" i="1"/>
  <c r="P38" i="1" s="1"/>
  <c r="O34" i="1"/>
  <c r="P34" i="1" s="1"/>
  <c r="O30" i="1"/>
  <c r="P30" i="1" s="1"/>
  <c r="O777" i="1"/>
  <c r="P777" i="1" s="1"/>
  <c r="O773" i="1"/>
  <c r="P773" i="1" s="1"/>
  <c r="O769" i="1"/>
  <c r="P769" i="1" s="1"/>
  <c r="O765" i="1"/>
  <c r="P765" i="1" s="1"/>
  <c r="O761" i="1"/>
  <c r="P761" i="1" s="1"/>
  <c r="O757" i="1"/>
  <c r="P757" i="1" s="1"/>
  <c r="O753" i="1"/>
  <c r="P753" i="1" s="1"/>
  <c r="O749" i="1"/>
  <c r="P749" i="1" s="1"/>
  <c r="O745" i="1"/>
  <c r="P745" i="1" s="1"/>
  <c r="O741" i="1"/>
  <c r="P741" i="1" s="1"/>
  <c r="O737" i="1"/>
  <c r="P737" i="1" s="1"/>
  <c r="O733" i="1"/>
  <c r="P733" i="1" s="1"/>
  <c r="O729" i="1"/>
  <c r="P729" i="1" s="1"/>
  <c r="O725" i="1"/>
  <c r="P725" i="1" s="1"/>
  <c r="O721" i="1"/>
  <c r="P721" i="1" s="1"/>
  <c r="O717" i="1"/>
  <c r="P717" i="1" s="1"/>
  <c r="O713" i="1"/>
  <c r="P713" i="1" s="1"/>
  <c r="O709" i="1"/>
  <c r="P709" i="1" s="1"/>
  <c r="O705" i="1"/>
  <c r="P705" i="1" s="1"/>
  <c r="O701" i="1"/>
  <c r="P701" i="1" s="1"/>
  <c r="O697" i="1"/>
  <c r="P697" i="1" s="1"/>
  <c r="O693" i="1"/>
  <c r="P693" i="1" s="1"/>
  <c r="O689" i="1"/>
  <c r="P689" i="1" s="1"/>
  <c r="O685" i="1"/>
  <c r="P685" i="1" s="1"/>
  <c r="O681" i="1"/>
  <c r="P681" i="1" s="1"/>
  <c r="O677" i="1"/>
  <c r="P677" i="1" s="1"/>
  <c r="O673" i="1"/>
  <c r="P673" i="1" s="1"/>
  <c r="O669" i="1"/>
  <c r="P669" i="1" s="1"/>
  <c r="O665" i="1"/>
  <c r="P665" i="1" s="1"/>
  <c r="O661" i="1"/>
  <c r="P661" i="1" s="1"/>
  <c r="O657" i="1"/>
  <c r="P657" i="1" s="1"/>
  <c r="O653" i="1"/>
  <c r="P653" i="1" s="1"/>
  <c r="O649" i="1"/>
  <c r="P649" i="1" s="1"/>
  <c r="O645" i="1"/>
  <c r="P645" i="1" s="1"/>
  <c r="O641" i="1"/>
  <c r="P641" i="1" s="1"/>
  <c r="O637" i="1"/>
  <c r="P637" i="1" s="1"/>
  <c r="O633" i="1"/>
  <c r="P633" i="1" s="1"/>
  <c r="O629" i="1"/>
  <c r="P629" i="1" s="1"/>
  <c r="O625" i="1"/>
  <c r="P625" i="1" s="1"/>
  <c r="O621" i="1"/>
  <c r="P621" i="1" s="1"/>
  <c r="O617" i="1"/>
  <c r="P617" i="1" s="1"/>
  <c r="O613" i="1"/>
  <c r="P613" i="1" s="1"/>
  <c r="O609" i="1"/>
  <c r="P609" i="1" s="1"/>
  <c r="O605" i="1"/>
  <c r="P605" i="1" s="1"/>
  <c r="O601" i="1"/>
  <c r="P601" i="1" s="1"/>
  <c r="O597" i="1"/>
  <c r="P597" i="1" s="1"/>
  <c r="O593" i="1"/>
  <c r="P593" i="1" s="1"/>
  <c r="O589" i="1"/>
  <c r="P589" i="1" s="1"/>
  <c r="O585" i="1"/>
  <c r="P585" i="1" s="1"/>
  <c r="O581" i="1"/>
  <c r="P581" i="1" s="1"/>
  <c r="O577" i="1"/>
  <c r="P577" i="1" s="1"/>
  <c r="O573" i="1"/>
  <c r="P573" i="1" s="1"/>
  <c r="O569" i="1"/>
  <c r="P569" i="1" s="1"/>
  <c r="O565" i="1"/>
  <c r="P565" i="1" s="1"/>
  <c r="O561" i="1"/>
  <c r="P561" i="1" s="1"/>
  <c r="O557" i="1"/>
  <c r="P557" i="1" s="1"/>
  <c r="O553" i="1"/>
  <c r="P553" i="1" s="1"/>
  <c r="O549" i="1"/>
  <c r="P549" i="1" s="1"/>
  <c r="O545" i="1"/>
  <c r="P545" i="1" s="1"/>
  <c r="O541" i="1"/>
  <c r="P541" i="1" s="1"/>
  <c r="O537" i="1"/>
  <c r="P537" i="1" s="1"/>
  <c r="O533" i="1"/>
  <c r="P533" i="1" s="1"/>
  <c r="O529" i="1"/>
  <c r="P529" i="1" s="1"/>
  <c r="O525" i="1"/>
  <c r="P525" i="1" s="1"/>
  <c r="O521" i="1"/>
  <c r="P521" i="1" s="1"/>
  <c r="O517" i="1"/>
  <c r="P517" i="1" s="1"/>
  <c r="O513" i="1"/>
  <c r="P513" i="1" s="1"/>
  <c r="O509" i="1"/>
  <c r="P509" i="1" s="1"/>
  <c r="O505" i="1"/>
  <c r="P505" i="1" s="1"/>
  <c r="O501" i="1"/>
  <c r="P501" i="1" s="1"/>
  <c r="O497" i="1"/>
  <c r="P497" i="1" s="1"/>
  <c r="O493" i="1"/>
  <c r="P493" i="1" s="1"/>
  <c r="O489" i="1"/>
  <c r="P489" i="1" s="1"/>
  <c r="O485" i="1"/>
  <c r="P485" i="1" s="1"/>
  <c r="O481" i="1"/>
  <c r="P481" i="1" s="1"/>
  <c r="O477" i="1"/>
  <c r="P477" i="1" s="1"/>
  <c r="O473" i="1"/>
  <c r="P473" i="1" s="1"/>
  <c r="O469" i="1"/>
  <c r="P469" i="1" s="1"/>
  <c r="O465" i="1"/>
  <c r="P465" i="1" s="1"/>
  <c r="O461" i="1"/>
  <c r="P461" i="1" s="1"/>
  <c r="O457" i="1"/>
  <c r="P457" i="1" s="1"/>
  <c r="O453" i="1"/>
  <c r="P453" i="1" s="1"/>
  <c r="O449" i="1"/>
  <c r="P449" i="1" s="1"/>
  <c r="O445" i="1"/>
  <c r="P445" i="1" s="1"/>
  <c r="O441" i="1"/>
  <c r="P441" i="1" s="1"/>
  <c r="O437" i="1"/>
  <c r="P437" i="1" s="1"/>
  <c r="O433" i="1"/>
  <c r="P433" i="1" s="1"/>
  <c r="O429" i="1"/>
  <c r="P429" i="1" s="1"/>
  <c r="O425" i="1"/>
  <c r="P425" i="1" s="1"/>
  <c r="O421" i="1"/>
  <c r="P421" i="1" s="1"/>
  <c r="O417" i="1"/>
  <c r="P417" i="1" s="1"/>
  <c r="O413" i="1"/>
  <c r="P413" i="1" s="1"/>
  <c r="O409" i="1"/>
  <c r="P409" i="1" s="1"/>
  <c r="O405" i="1"/>
  <c r="P405" i="1" s="1"/>
  <c r="O401" i="1"/>
  <c r="P401" i="1" s="1"/>
  <c r="O397" i="1"/>
  <c r="P397" i="1" s="1"/>
  <c r="O393" i="1"/>
  <c r="P393" i="1" s="1"/>
  <c r="O389" i="1"/>
  <c r="P389" i="1" s="1"/>
  <c r="O385" i="1"/>
  <c r="P385" i="1" s="1"/>
  <c r="O381" i="1"/>
  <c r="P381" i="1" s="1"/>
  <c r="O377" i="1"/>
  <c r="P377" i="1" s="1"/>
  <c r="O373" i="1"/>
  <c r="P373" i="1" s="1"/>
  <c r="O369" i="1"/>
  <c r="P369" i="1" s="1"/>
  <c r="O365" i="1"/>
  <c r="P365" i="1" s="1"/>
  <c r="O361" i="1"/>
  <c r="P361" i="1" s="1"/>
  <c r="O357" i="1"/>
  <c r="P357" i="1" s="1"/>
  <c r="O353" i="1"/>
  <c r="P353" i="1" s="1"/>
  <c r="O349" i="1"/>
  <c r="P349" i="1" s="1"/>
  <c r="O345" i="1"/>
  <c r="P345" i="1" s="1"/>
  <c r="O341" i="1"/>
  <c r="P341" i="1" s="1"/>
  <c r="O337" i="1"/>
  <c r="P337" i="1" s="1"/>
  <c r="O333" i="1"/>
  <c r="P333" i="1" s="1"/>
  <c r="O329" i="1"/>
  <c r="P329" i="1" s="1"/>
  <c r="O325" i="1"/>
  <c r="P325" i="1" s="1"/>
  <c r="O321" i="1"/>
  <c r="P321" i="1" s="1"/>
  <c r="O317" i="1"/>
  <c r="P317" i="1" s="1"/>
  <c r="O313" i="1"/>
  <c r="P313" i="1" s="1"/>
  <c r="O309" i="1"/>
  <c r="P309" i="1" s="1"/>
  <c r="O305" i="1"/>
  <c r="P305" i="1" s="1"/>
  <c r="O301" i="1"/>
  <c r="P301" i="1" s="1"/>
  <c r="O297" i="1"/>
  <c r="P297" i="1" s="1"/>
  <c r="O293" i="1"/>
  <c r="P293" i="1" s="1"/>
  <c r="O289" i="1"/>
  <c r="P289" i="1" s="1"/>
  <c r="O285" i="1"/>
  <c r="P285" i="1" s="1"/>
  <c r="O281" i="1"/>
  <c r="P281" i="1" s="1"/>
  <c r="O277" i="1"/>
  <c r="P277" i="1" s="1"/>
  <c r="O273" i="1"/>
  <c r="P273" i="1" s="1"/>
  <c r="O269" i="1"/>
  <c r="P269" i="1" s="1"/>
  <c r="O265" i="1"/>
  <c r="P265" i="1" s="1"/>
  <c r="O261" i="1"/>
  <c r="P261" i="1" s="1"/>
  <c r="O257" i="1"/>
  <c r="P257" i="1" s="1"/>
  <c r="O253" i="1"/>
  <c r="P253" i="1" s="1"/>
  <c r="O249" i="1"/>
  <c r="P249" i="1" s="1"/>
  <c r="O245" i="1"/>
  <c r="P245" i="1" s="1"/>
  <c r="O241" i="1"/>
  <c r="P241" i="1" s="1"/>
  <c r="O237" i="1"/>
  <c r="P237" i="1" s="1"/>
  <c r="O233" i="1"/>
  <c r="P233" i="1" s="1"/>
  <c r="O229" i="1"/>
  <c r="P229" i="1" s="1"/>
  <c r="O225" i="1"/>
  <c r="P225" i="1" s="1"/>
  <c r="O221" i="1"/>
  <c r="P221" i="1" s="1"/>
  <c r="O217" i="1"/>
  <c r="P217" i="1" s="1"/>
  <c r="O213" i="1"/>
  <c r="P213" i="1" s="1"/>
  <c r="O209" i="1"/>
  <c r="P209" i="1" s="1"/>
  <c r="O205" i="1"/>
  <c r="P205" i="1" s="1"/>
  <c r="O201" i="1"/>
  <c r="P201" i="1" s="1"/>
  <c r="O197" i="1"/>
  <c r="P197" i="1" s="1"/>
  <c r="O193" i="1"/>
  <c r="P193" i="1" s="1"/>
  <c r="O189" i="1"/>
  <c r="P189" i="1" s="1"/>
  <c r="O185" i="1"/>
  <c r="P185" i="1" s="1"/>
  <c r="O181" i="1"/>
  <c r="P181" i="1" s="1"/>
  <c r="O177" i="1"/>
  <c r="P177" i="1" s="1"/>
  <c r="O173" i="1"/>
  <c r="P173" i="1" s="1"/>
  <c r="O169" i="1"/>
  <c r="P169" i="1" s="1"/>
  <c r="O165" i="1"/>
  <c r="P165" i="1" s="1"/>
  <c r="O161" i="1"/>
  <c r="P161" i="1" s="1"/>
  <c r="O157" i="1"/>
  <c r="P157" i="1" s="1"/>
  <c r="O153" i="1"/>
  <c r="P153" i="1" s="1"/>
  <c r="O149" i="1"/>
  <c r="P149" i="1" s="1"/>
  <c r="O145" i="1"/>
  <c r="P145" i="1" s="1"/>
  <c r="O141" i="1"/>
  <c r="P141" i="1" s="1"/>
  <c r="O137" i="1"/>
  <c r="P137" i="1" s="1"/>
  <c r="O133" i="1"/>
  <c r="P133" i="1" s="1"/>
  <c r="O129" i="1"/>
  <c r="P129" i="1" s="1"/>
  <c r="O125" i="1"/>
  <c r="P125" i="1" s="1"/>
  <c r="O121" i="1"/>
  <c r="P121" i="1" s="1"/>
  <c r="O117" i="1"/>
  <c r="P117" i="1" s="1"/>
  <c r="O113" i="1"/>
  <c r="P113" i="1" s="1"/>
  <c r="O109" i="1"/>
  <c r="P109" i="1" s="1"/>
  <c r="O105" i="1"/>
  <c r="P105" i="1" s="1"/>
  <c r="O101" i="1"/>
  <c r="P101" i="1" s="1"/>
  <c r="O97" i="1"/>
  <c r="P97" i="1" s="1"/>
  <c r="O93" i="1"/>
  <c r="P93" i="1" s="1"/>
  <c r="O89" i="1"/>
  <c r="P89" i="1" s="1"/>
  <c r="O85" i="1"/>
  <c r="P85" i="1" s="1"/>
  <c r="O81" i="1"/>
  <c r="P81" i="1" s="1"/>
  <c r="O77" i="1"/>
  <c r="P77" i="1" s="1"/>
  <c r="O73" i="1"/>
  <c r="P73" i="1" s="1"/>
  <c r="O69" i="1"/>
  <c r="P69" i="1" s="1"/>
  <c r="O65" i="1"/>
  <c r="P65" i="1" s="1"/>
  <c r="O61" i="1"/>
  <c r="P61" i="1" s="1"/>
  <c r="O57" i="1"/>
  <c r="P57" i="1" s="1"/>
  <c r="O53" i="1"/>
  <c r="P53" i="1" s="1"/>
  <c r="O49" i="1"/>
  <c r="P49" i="1" s="1"/>
  <c r="O45" i="1"/>
  <c r="P45" i="1" s="1"/>
  <c r="O41" i="1"/>
  <c r="P41" i="1" s="1"/>
  <c r="O37" i="1"/>
  <c r="P37" i="1" s="1"/>
  <c r="O33" i="1"/>
  <c r="P33" i="1" s="1"/>
  <c r="O29" i="1"/>
  <c r="P29" i="1" s="1"/>
  <c r="O25" i="1"/>
  <c r="P25" i="1" s="1"/>
  <c r="O21" i="1"/>
  <c r="P21" i="1" s="1"/>
  <c r="O17" i="1"/>
  <c r="P17" i="1" s="1"/>
  <c r="O13" i="1"/>
  <c r="P13" i="1" s="1"/>
  <c r="O9" i="1"/>
  <c r="P9" i="1" s="1"/>
  <c r="O5" i="1"/>
  <c r="P5" i="1" s="1"/>
  <c r="O652" i="1"/>
  <c r="P652" i="1" s="1"/>
  <c r="O648" i="1"/>
  <c r="P648" i="1" s="1"/>
  <c r="O644" i="1"/>
  <c r="P644" i="1" s="1"/>
  <c r="O640" i="1"/>
  <c r="P640" i="1" s="1"/>
  <c r="O636" i="1"/>
  <c r="P636" i="1" s="1"/>
  <c r="O632" i="1"/>
  <c r="P632" i="1" s="1"/>
  <c r="O628" i="1"/>
  <c r="P628" i="1" s="1"/>
  <c r="O624" i="1"/>
  <c r="P624" i="1" s="1"/>
  <c r="O620" i="1"/>
  <c r="P620" i="1" s="1"/>
  <c r="O616" i="1"/>
  <c r="P616" i="1" s="1"/>
  <c r="O612" i="1"/>
  <c r="P612" i="1" s="1"/>
  <c r="O608" i="1"/>
  <c r="P608" i="1" s="1"/>
  <c r="O604" i="1"/>
  <c r="P604" i="1" s="1"/>
  <c r="O600" i="1"/>
  <c r="P600" i="1" s="1"/>
  <c r="O596" i="1"/>
  <c r="P596" i="1" s="1"/>
  <c r="O592" i="1"/>
  <c r="P592" i="1" s="1"/>
  <c r="O588" i="1"/>
  <c r="P588" i="1" s="1"/>
  <c r="O584" i="1"/>
  <c r="P584" i="1" s="1"/>
  <c r="O580" i="1"/>
  <c r="P580" i="1" s="1"/>
  <c r="O576" i="1"/>
  <c r="P576" i="1" s="1"/>
  <c r="O572" i="1"/>
  <c r="P572" i="1" s="1"/>
  <c r="O568" i="1"/>
  <c r="P568" i="1" s="1"/>
  <c r="O564" i="1"/>
  <c r="P564" i="1" s="1"/>
  <c r="O560" i="1"/>
  <c r="P560" i="1" s="1"/>
  <c r="O556" i="1"/>
  <c r="P556" i="1" s="1"/>
  <c r="O552" i="1"/>
  <c r="P552" i="1" s="1"/>
  <c r="O548" i="1"/>
  <c r="P548" i="1" s="1"/>
  <c r="O544" i="1"/>
  <c r="P544" i="1" s="1"/>
  <c r="O540" i="1"/>
  <c r="P540" i="1" s="1"/>
  <c r="O536" i="1"/>
  <c r="P536" i="1" s="1"/>
  <c r="O532" i="1"/>
  <c r="P532" i="1" s="1"/>
  <c r="O528" i="1"/>
  <c r="P528" i="1" s="1"/>
  <c r="O524" i="1"/>
  <c r="P524" i="1" s="1"/>
  <c r="O520" i="1"/>
  <c r="P520" i="1" s="1"/>
  <c r="O516" i="1"/>
  <c r="P516" i="1" s="1"/>
  <c r="O512" i="1"/>
  <c r="P512" i="1" s="1"/>
  <c r="O508" i="1"/>
  <c r="P508" i="1" s="1"/>
  <c r="O504" i="1"/>
  <c r="P504" i="1" s="1"/>
  <c r="O500" i="1"/>
  <c r="P500" i="1" s="1"/>
  <c r="O496" i="1"/>
  <c r="P496" i="1" s="1"/>
  <c r="O492" i="1"/>
  <c r="P492" i="1" s="1"/>
  <c r="O488" i="1"/>
  <c r="P488" i="1" s="1"/>
  <c r="O484" i="1"/>
  <c r="P484" i="1" s="1"/>
  <c r="O480" i="1"/>
  <c r="P480" i="1" s="1"/>
  <c r="O476" i="1"/>
  <c r="P476" i="1" s="1"/>
  <c r="O472" i="1"/>
  <c r="P472" i="1" s="1"/>
  <c r="O468" i="1"/>
  <c r="P468" i="1" s="1"/>
  <c r="O464" i="1"/>
  <c r="P464" i="1" s="1"/>
  <c r="O460" i="1"/>
  <c r="P460" i="1" s="1"/>
  <c r="O456" i="1"/>
  <c r="P456" i="1" s="1"/>
  <c r="O452" i="1"/>
  <c r="P452" i="1" s="1"/>
  <c r="O448" i="1"/>
  <c r="P448" i="1" s="1"/>
  <c r="O444" i="1"/>
  <c r="P444" i="1" s="1"/>
  <c r="O440" i="1"/>
  <c r="P440" i="1" s="1"/>
  <c r="O436" i="1"/>
  <c r="P436" i="1" s="1"/>
  <c r="O432" i="1"/>
  <c r="P432" i="1" s="1"/>
  <c r="O428" i="1"/>
  <c r="P428" i="1" s="1"/>
  <c r="O424" i="1"/>
  <c r="P424" i="1" s="1"/>
  <c r="O420" i="1"/>
  <c r="P420" i="1" s="1"/>
  <c r="O416" i="1"/>
  <c r="P416" i="1" s="1"/>
  <c r="O412" i="1"/>
  <c r="P412" i="1" s="1"/>
  <c r="O408" i="1"/>
  <c r="P408" i="1" s="1"/>
  <c r="O404" i="1"/>
  <c r="P404" i="1" s="1"/>
  <c r="O400" i="1"/>
  <c r="P400" i="1" s="1"/>
  <c r="O396" i="1"/>
  <c r="P396" i="1" s="1"/>
  <c r="O392" i="1"/>
  <c r="P392" i="1" s="1"/>
  <c r="O388" i="1"/>
  <c r="P388" i="1" s="1"/>
  <c r="O384" i="1"/>
  <c r="P384" i="1" s="1"/>
  <c r="O380" i="1"/>
  <c r="P380" i="1" s="1"/>
  <c r="O376" i="1"/>
  <c r="P376" i="1" s="1"/>
  <c r="O372" i="1"/>
  <c r="P372" i="1" s="1"/>
  <c r="O368" i="1"/>
  <c r="P368" i="1" s="1"/>
  <c r="O364" i="1"/>
  <c r="P364" i="1" s="1"/>
  <c r="O360" i="1"/>
  <c r="P360" i="1" s="1"/>
  <c r="O356" i="1"/>
  <c r="P356" i="1" s="1"/>
  <c r="O352" i="1"/>
  <c r="P352" i="1" s="1"/>
  <c r="O348" i="1"/>
  <c r="P348" i="1" s="1"/>
  <c r="O344" i="1"/>
  <c r="P344" i="1" s="1"/>
  <c r="O340" i="1"/>
  <c r="P340" i="1" s="1"/>
  <c r="O336" i="1"/>
  <c r="P336" i="1" s="1"/>
  <c r="O332" i="1"/>
  <c r="P332" i="1" s="1"/>
  <c r="O328" i="1"/>
  <c r="P328" i="1" s="1"/>
  <c r="O320" i="1"/>
  <c r="P320" i="1" s="1"/>
  <c r="O316" i="1"/>
  <c r="P316" i="1" s="1"/>
  <c r="O312" i="1"/>
  <c r="P312" i="1" s="1"/>
  <c r="O308" i="1"/>
  <c r="P308" i="1" s="1"/>
  <c r="O304" i="1"/>
  <c r="P304" i="1" s="1"/>
  <c r="O300" i="1"/>
  <c r="P300" i="1" s="1"/>
  <c r="O296" i="1"/>
  <c r="P296" i="1" s="1"/>
  <c r="O292" i="1"/>
  <c r="P292" i="1" s="1"/>
  <c r="O288" i="1"/>
  <c r="P288" i="1" s="1"/>
  <c r="O284" i="1"/>
  <c r="P284" i="1" s="1"/>
  <c r="O280" i="1"/>
  <c r="P280" i="1" s="1"/>
  <c r="O276" i="1"/>
  <c r="P276" i="1" s="1"/>
  <c r="O272" i="1"/>
  <c r="P272" i="1" s="1"/>
  <c r="O268" i="1"/>
  <c r="P268" i="1" s="1"/>
  <c r="O264" i="1"/>
  <c r="P264" i="1" s="1"/>
  <c r="O256" i="1"/>
  <c r="P256" i="1" s="1"/>
  <c r="O252" i="1"/>
  <c r="P252" i="1" s="1"/>
  <c r="O248" i="1"/>
  <c r="P248" i="1" s="1"/>
  <c r="O244" i="1"/>
  <c r="P244" i="1" s="1"/>
  <c r="O240" i="1"/>
  <c r="P240" i="1" s="1"/>
  <c r="O236" i="1"/>
  <c r="P236" i="1" s="1"/>
  <c r="O232" i="1"/>
  <c r="P232" i="1" s="1"/>
  <c r="O228" i="1"/>
  <c r="P228" i="1" s="1"/>
  <c r="O224" i="1"/>
  <c r="P224" i="1" s="1"/>
  <c r="O220" i="1"/>
  <c r="P220" i="1" s="1"/>
  <c r="O216" i="1"/>
  <c r="P216" i="1" s="1"/>
  <c r="O212" i="1"/>
  <c r="P212" i="1" s="1"/>
  <c r="O208" i="1"/>
  <c r="P208" i="1" s="1"/>
  <c r="O204" i="1"/>
  <c r="P204" i="1" s="1"/>
  <c r="O200" i="1"/>
  <c r="P200" i="1" s="1"/>
  <c r="O192" i="1"/>
  <c r="P192" i="1" s="1"/>
  <c r="O188" i="1"/>
  <c r="P188" i="1" s="1"/>
  <c r="O184" i="1"/>
  <c r="P184" i="1" s="1"/>
  <c r="O180" i="1"/>
  <c r="P180" i="1" s="1"/>
  <c r="O176" i="1"/>
  <c r="P176" i="1" s="1"/>
  <c r="O172" i="1"/>
  <c r="P172" i="1" s="1"/>
  <c r="O168" i="1"/>
  <c r="P168" i="1" s="1"/>
  <c r="O164" i="1"/>
  <c r="P164" i="1" s="1"/>
  <c r="O160" i="1"/>
  <c r="P160" i="1" s="1"/>
  <c r="O156" i="1"/>
  <c r="P156" i="1" s="1"/>
  <c r="O152" i="1"/>
  <c r="P152" i="1" s="1"/>
  <c r="O148" i="1"/>
  <c r="P148" i="1" s="1"/>
  <c r="O144" i="1"/>
  <c r="P144" i="1" s="1"/>
  <c r="O140" i="1"/>
  <c r="P140" i="1" s="1"/>
  <c r="O136" i="1"/>
  <c r="P136" i="1" s="1"/>
  <c r="O128" i="1"/>
  <c r="P128" i="1" s="1"/>
  <c r="O124" i="1"/>
  <c r="P124" i="1" s="1"/>
  <c r="O120" i="1"/>
  <c r="P120" i="1" s="1"/>
  <c r="O116" i="1"/>
  <c r="P116" i="1" s="1"/>
  <c r="O112" i="1"/>
  <c r="P112" i="1" s="1"/>
  <c r="O108" i="1"/>
  <c r="P108" i="1" s="1"/>
  <c r="O104" i="1"/>
  <c r="P104" i="1" s="1"/>
  <c r="O100" i="1"/>
  <c r="P100" i="1" s="1"/>
  <c r="O96" i="1"/>
  <c r="P96" i="1" s="1"/>
  <c r="O92" i="1"/>
  <c r="P92" i="1" s="1"/>
  <c r="O88" i="1"/>
  <c r="P88" i="1" s="1"/>
  <c r="O84" i="1"/>
  <c r="P84" i="1" s="1"/>
  <c r="O80" i="1"/>
  <c r="P80" i="1" s="1"/>
  <c r="O76" i="1"/>
  <c r="P76" i="1" s="1"/>
  <c r="O52" i="1"/>
  <c r="P52" i="1" s="1"/>
  <c r="O36" i="1"/>
  <c r="P36" i="1" s="1"/>
  <c r="O20" i="1"/>
  <c r="P20" i="1" s="1"/>
  <c r="O619" i="1"/>
  <c r="P619" i="1" s="1"/>
  <c r="O615" i="1"/>
  <c r="P615" i="1" s="1"/>
  <c r="O611" i="1"/>
  <c r="P611" i="1" s="1"/>
  <c r="O607" i="1"/>
  <c r="P607" i="1" s="1"/>
  <c r="O603" i="1"/>
  <c r="P603" i="1" s="1"/>
  <c r="O599" i="1"/>
  <c r="P599" i="1" s="1"/>
  <c r="O595" i="1"/>
  <c r="P595" i="1" s="1"/>
  <c r="O591" i="1"/>
  <c r="P591" i="1" s="1"/>
  <c r="O587" i="1"/>
  <c r="P587" i="1" s="1"/>
  <c r="O583" i="1"/>
  <c r="P583" i="1" s="1"/>
  <c r="O579" i="1"/>
  <c r="P579" i="1" s="1"/>
  <c r="O575" i="1"/>
  <c r="P575" i="1" s="1"/>
  <c r="O571" i="1"/>
  <c r="P571" i="1" s="1"/>
  <c r="O567" i="1"/>
  <c r="P567" i="1" s="1"/>
  <c r="O563" i="1"/>
  <c r="P563" i="1" s="1"/>
  <c r="O559" i="1"/>
  <c r="P559" i="1" s="1"/>
  <c r="O555" i="1"/>
  <c r="P555" i="1" s="1"/>
  <c r="O551" i="1"/>
  <c r="P551" i="1" s="1"/>
  <c r="O547" i="1"/>
  <c r="P547" i="1" s="1"/>
  <c r="O543" i="1"/>
  <c r="P543" i="1" s="1"/>
  <c r="O539" i="1"/>
  <c r="P539" i="1" s="1"/>
  <c r="O535" i="1"/>
  <c r="P535" i="1" s="1"/>
  <c r="O531" i="1"/>
  <c r="P531" i="1" s="1"/>
  <c r="O527" i="1"/>
  <c r="P527" i="1" s="1"/>
  <c r="O523" i="1"/>
  <c r="P523" i="1" s="1"/>
  <c r="O519" i="1"/>
  <c r="P519" i="1" s="1"/>
  <c r="O515" i="1"/>
  <c r="P515" i="1" s="1"/>
  <c r="O511" i="1"/>
  <c r="P511" i="1" s="1"/>
  <c r="O507" i="1"/>
  <c r="P507" i="1" s="1"/>
  <c r="O503" i="1"/>
  <c r="P503" i="1" s="1"/>
  <c r="O499" i="1"/>
  <c r="P499" i="1" s="1"/>
  <c r="O495" i="1"/>
  <c r="P495" i="1" s="1"/>
  <c r="O491" i="1"/>
  <c r="P491" i="1" s="1"/>
  <c r="O487" i="1"/>
  <c r="P487" i="1" s="1"/>
  <c r="O483" i="1"/>
  <c r="P483" i="1" s="1"/>
  <c r="O479" i="1"/>
  <c r="P479" i="1" s="1"/>
  <c r="O475" i="1"/>
  <c r="P475" i="1" s="1"/>
  <c r="O471" i="1"/>
  <c r="P471" i="1" s="1"/>
  <c r="O467" i="1"/>
  <c r="P467" i="1" s="1"/>
  <c r="O463" i="1"/>
  <c r="P463" i="1" s="1"/>
  <c r="O459" i="1"/>
  <c r="P459" i="1" s="1"/>
  <c r="O455" i="1"/>
  <c r="P455" i="1" s="1"/>
  <c r="O451" i="1"/>
  <c r="P451" i="1" s="1"/>
  <c r="O447" i="1"/>
  <c r="P447" i="1" s="1"/>
  <c r="O443" i="1"/>
  <c r="P443" i="1" s="1"/>
  <c r="O439" i="1"/>
  <c r="P439" i="1" s="1"/>
  <c r="O435" i="1"/>
  <c r="P435" i="1" s="1"/>
  <c r="O431" i="1"/>
  <c r="P431" i="1" s="1"/>
  <c r="O427" i="1"/>
  <c r="P427" i="1" s="1"/>
  <c r="O423" i="1"/>
  <c r="P423" i="1" s="1"/>
  <c r="O419" i="1"/>
  <c r="P419" i="1" s="1"/>
  <c r="O415" i="1"/>
  <c r="P415" i="1" s="1"/>
  <c r="O411" i="1"/>
  <c r="P411" i="1" s="1"/>
  <c r="O407" i="1"/>
  <c r="P407" i="1" s="1"/>
  <c r="O403" i="1"/>
  <c r="P403" i="1" s="1"/>
  <c r="O399" i="1"/>
  <c r="P399" i="1" s="1"/>
  <c r="O395" i="1"/>
  <c r="P395" i="1" s="1"/>
  <c r="O391" i="1"/>
  <c r="P391" i="1" s="1"/>
  <c r="O387" i="1"/>
  <c r="P387" i="1" s="1"/>
  <c r="O383" i="1"/>
  <c r="P383" i="1" s="1"/>
  <c r="O379" i="1"/>
  <c r="P379" i="1" s="1"/>
  <c r="O375" i="1"/>
  <c r="P375" i="1" s="1"/>
  <c r="O371" i="1"/>
  <c r="P371" i="1" s="1"/>
  <c r="O367" i="1"/>
  <c r="P367" i="1" s="1"/>
  <c r="O363" i="1"/>
  <c r="P363" i="1" s="1"/>
  <c r="O359" i="1"/>
  <c r="P359" i="1" s="1"/>
  <c r="O355" i="1"/>
  <c r="P355" i="1" s="1"/>
  <c r="O351" i="1"/>
  <c r="P351" i="1" s="1"/>
  <c r="O347" i="1"/>
  <c r="P347" i="1" s="1"/>
  <c r="O343" i="1"/>
  <c r="P343" i="1" s="1"/>
  <c r="O339" i="1"/>
  <c r="P339" i="1" s="1"/>
  <c r="O335" i="1"/>
  <c r="P335" i="1" s="1"/>
  <c r="O331" i="1"/>
  <c r="P331" i="1" s="1"/>
  <c r="O327" i="1"/>
  <c r="P327" i="1" s="1"/>
  <c r="O323" i="1"/>
  <c r="P323" i="1" s="1"/>
  <c r="O319" i="1"/>
  <c r="P319" i="1" s="1"/>
  <c r="O315" i="1"/>
  <c r="P315" i="1" s="1"/>
  <c r="O311" i="1"/>
  <c r="P311" i="1" s="1"/>
  <c r="O307" i="1"/>
  <c r="P307" i="1" s="1"/>
  <c r="O303" i="1"/>
  <c r="P303" i="1" s="1"/>
  <c r="O299" i="1"/>
  <c r="P299" i="1" s="1"/>
  <c r="O295" i="1"/>
  <c r="P295" i="1" s="1"/>
  <c r="O291" i="1"/>
  <c r="P291" i="1" s="1"/>
  <c r="O287" i="1"/>
  <c r="P287" i="1" s="1"/>
  <c r="O283" i="1"/>
  <c r="P283" i="1" s="1"/>
  <c r="O279" i="1"/>
  <c r="P279" i="1" s="1"/>
  <c r="O275" i="1"/>
  <c r="P275" i="1" s="1"/>
  <c r="O271" i="1"/>
  <c r="P271" i="1" s="1"/>
  <c r="O267" i="1"/>
  <c r="P267" i="1" s="1"/>
  <c r="O263" i="1"/>
  <c r="P263" i="1" s="1"/>
  <c r="O259" i="1"/>
  <c r="P259" i="1" s="1"/>
  <c r="O255" i="1"/>
  <c r="P255" i="1" s="1"/>
  <c r="O251" i="1"/>
  <c r="P251" i="1" s="1"/>
  <c r="O247" i="1"/>
  <c r="P247" i="1" s="1"/>
  <c r="O243" i="1"/>
  <c r="P243" i="1" s="1"/>
  <c r="O239" i="1"/>
  <c r="P239" i="1" s="1"/>
  <c r="O235" i="1"/>
  <c r="P235" i="1" s="1"/>
  <c r="O231" i="1"/>
  <c r="P231" i="1" s="1"/>
  <c r="O227" i="1"/>
  <c r="P227" i="1" s="1"/>
  <c r="O223" i="1"/>
  <c r="P223" i="1" s="1"/>
  <c r="O219" i="1"/>
  <c r="P219" i="1" s="1"/>
  <c r="O215" i="1"/>
  <c r="P215" i="1" s="1"/>
  <c r="O211" i="1"/>
  <c r="P211" i="1" s="1"/>
  <c r="O207" i="1"/>
  <c r="P207" i="1" s="1"/>
  <c r="O203" i="1"/>
  <c r="P203" i="1" s="1"/>
  <c r="O199" i="1"/>
  <c r="P199" i="1" s="1"/>
  <c r="O195" i="1"/>
  <c r="P195" i="1" s="1"/>
  <c r="O191" i="1"/>
  <c r="P191" i="1" s="1"/>
  <c r="O187" i="1"/>
  <c r="P187" i="1" s="1"/>
  <c r="O183" i="1"/>
  <c r="P183" i="1" s="1"/>
  <c r="O179" i="1"/>
  <c r="P179" i="1" s="1"/>
  <c r="O175" i="1"/>
  <c r="P175" i="1" s="1"/>
  <c r="O171" i="1"/>
  <c r="P171" i="1" s="1"/>
  <c r="O167" i="1"/>
  <c r="P167" i="1" s="1"/>
  <c r="O163" i="1"/>
  <c r="P163" i="1" s="1"/>
  <c r="O159" i="1"/>
  <c r="P159" i="1" s="1"/>
  <c r="O155" i="1"/>
  <c r="P155" i="1" s="1"/>
  <c r="O151" i="1"/>
  <c r="P151" i="1" s="1"/>
  <c r="O147" i="1"/>
  <c r="P147" i="1" s="1"/>
  <c r="O143" i="1"/>
  <c r="P143" i="1" s="1"/>
  <c r="O139" i="1"/>
  <c r="P139" i="1" s="1"/>
  <c r="O135" i="1"/>
  <c r="P135" i="1" s="1"/>
  <c r="O131" i="1"/>
  <c r="P131" i="1" s="1"/>
  <c r="O127" i="1"/>
  <c r="P127" i="1" s="1"/>
  <c r="O123" i="1"/>
  <c r="P123" i="1" s="1"/>
  <c r="O119" i="1"/>
  <c r="P119" i="1" s="1"/>
  <c r="O115" i="1"/>
  <c r="P115" i="1" s="1"/>
  <c r="O111" i="1"/>
  <c r="P111" i="1" s="1"/>
  <c r="O107" i="1"/>
  <c r="P107" i="1" s="1"/>
  <c r="O103" i="1"/>
  <c r="P103" i="1" s="1"/>
  <c r="O99" i="1"/>
  <c r="P99" i="1" s="1"/>
  <c r="O95" i="1"/>
  <c r="P95" i="1" s="1"/>
  <c r="O91" i="1"/>
  <c r="P91" i="1" s="1"/>
  <c r="O87" i="1"/>
  <c r="P87" i="1" s="1"/>
  <c r="O83" i="1"/>
  <c r="P83" i="1" s="1"/>
  <c r="O79" i="1"/>
  <c r="P79" i="1" s="1"/>
  <c r="O75" i="1"/>
  <c r="P75" i="1" s="1"/>
  <c r="O71" i="1"/>
  <c r="P71" i="1" s="1"/>
  <c r="O67" i="1"/>
  <c r="P67" i="1" s="1"/>
  <c r="O63" i="1"/>
  <c r="P63" i="1" s="1"/>
  <c r="O59" i="1"/>
  <c r="P59" i="1" s="1"/>
  <c r="O55" i="1"/>
  <c r="P55" i="1" s="1"/>
  <c r="O51" i="1"/>
  <c r="P51" i="1" s="1"/>
  <c r="O47" i="1"/>
  <c r="P47" i="1" s="1"/>
  <c r="O43" i="1"/>
  <c r="P43" i="1" s="1"/>
  <c r="O39" i="1"/>
  <c r="P39" i="1" s="1"/>
  <c r="O35" i="1"/>
  <c r="P35" i="1" s="1"/>
  <c r="O31" i="1"/>
  <c r="P31" i="1" s="1"/>
  <c r="O72" i="1"/>
  <c r="P72" i="1" s="1"/>
  <c r="O64" i="1"/>
  <c r="P64" i="1" s="1"/>
  <c r="O60" i="1"/>
  <c r="P60" i="1" s="1"/>
  <c r="O56" i="1"/>
  <c r="P56" i="1" s="1"/>
  <c r="O48" i="1"/>
  <c r="P48" i="1" s="1"/>
  <c r="O44" i="1"/>
  <c r="P44" i="1" s="1"/>
  <c r="O40" i="1"/>
  <c r="P40" i="1" s="1"/>
  <c r="O32" i="1"/>
  <c r="P32" i="1" s="1"/>
  <c r="O28" i="1"/>
  <c r="P28" i="1" s="1"/>
  <c r="O24" i="1"/>
  <c r="P24" i="1" s="1"/>
  <c r="O16" i="1"/>
  <c r="P16" i="1" s="1"/>
  <c r="O12" i="1"/>
  <c r="P12" i="1" s="1"/>
  <c r="O8" i="1"/>
  <c r="P8" i="1" s="1"/>
  <c r="O4" i="1"/>
  <c r="P4" i="1" s="1"/>
  <c r="O27" i="1"/>
  <c r="P27" i="1" s="1"/>
  <c r="O23" i="1"/>
  <c r="P23" i="1" s="1"/>
  <c r="O19" i="1"/>
  <c r="P19" i="1" s="1"/>
  <c r="O15" i="1"/>
  <c r="P15" i="1" s="1"/>
  <c r="O11" i="1"/>
  <c r="P11" i="1" s="1"/>
  <c r="O7" i="1"/>
  <c r="P7" i="1" s="1"/>
  <c r="O3" i="1"/>
  <c r="P3" i="1" s="1"/>
  <c r="O26" i="1"/>
  <c r="P26" i="1" s="1"/>
  <c r="O22" i="1"/>
  <c r="P22" i="1" s="1"/>
  <c r="O18" i="1"/>
  <c r="P18" i="1" s="1"/>
  <c r="O14" i="1"/>
  <c r="P14" i="1" s="1"/>
  <c r="O10" i="1"/>
  <c r="P10" i="1" s="1"/>
  <c r="O6" i="1"/>
  <c r="P6" i="1" s="1"/>
  <c r="O2" i="1"/>
  <c r="X10" i="1" l="1"/>
  <c r="B4" i="4"/>
  <c r="P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B8ADF5-4228-4A23-B4FC-1796314410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352A503-A9F6-4595-9AC8-06FC01DDB2C7}" name="WorksheetConnection_Procurement KPI Analysis Dataset.xlsx!Table1" type="102" refreshedVersion="8" minRefreshableVersion="5">
    <extLst>
      <ext xmlns:x15="http://schemas.microsoft.com/office/spreadsheetml/2010/11/main" uri="{DE250136-89BD-433C-8126-D09CA5730AF9}">
        <x15:connection id="Table1" autoDelete="1">
          <x15:rangePr sourceName="_xlcn.WorksheetConnection_ProcurementKPIAnalysisDataset.xlsxTable11"/>
        </x15:connection>
      </ext>
    </extLst>
  </connection>
</connections>
</file>

<file path=xl/sharedStrings.xml><?xml version="1.0" encoding="utf-8"?>
<sst xmlns="http://schemas.openxmlformats.org/spreadsheetml/2006/main" count="4067" uniqueCount="871">
  <si>
    <t>PO_ID</t>
  </si>
  <si>
    <t>Supplier</t>
  </si>
  <si>
    <t>Order_Date</t>
  </si>
  <si>
    <t>Delivery_Date</t>
  </si>
  <si>
    <t>Item_Category</t>
  </si>
  <si>
    <t>Order_Status</t>
  </si>
  <si>
    <t>Quantity</t>
  </si>
  <si>
    <t>Unit_Price</t>
  </si>
  <si>
    <t>Negotiated_Price</t>
  </si>
  <si>
    <t>Defective_Units</t>
  </si>
  <si>
    <t>Compliance</t>
  </si>
  <si>
    <t>PO-00001</t>
  </si>
  <si>
    <t>Alpha_Inc</t>
  </si>
  <si>
    <t>Office Supplies</t>
  </si>
  <si>
    <t>Cancelled</t>
  </si>
  <si>
    <t>Yes</t>
  </si>
  <si>
    <t>PO-00002</t>
  </si>
  <si>
    <t>Delta_Logistics</t>
  </si>
  <si>
    <t>Delivered</t>
  </si>
  <si>
    <t>PO-00003</t>
  </si>
  <si>
    <t>Gamma_Co</t>
  </si>
  <si>
    <t>MRO</t>
  </si>
  <si>
    <t>PO-00004</t>
  </si>
  <si>
    <t>Beta_Supplies</t>
  </si>
  <si>
    <t>Packaging</t>
  </si>
  <si>
    <t>PO-00005</t>
  </si>
  <si>
    <t>Raw Materials</t>
  </si>
  <si>
    <t>No</t>
  </si>
  <si>
    <t>PO-00006</t>
  </si>
  <si>
    <t>Epsilon_Group</t>
  </si>
  <si>
    <t>PO-00007</t>
  </si>
  <si>
    <t>PO-00008</t>
  </si>
  <si>
    <t>PO-00009</t>
  </si>
  <si>
    <t>Partially Delivered</t>
  </si>
  <si>
    <t>PO-00010</t>
  </si>
  <si>
    <t>Pending</t>
  </si>
  <si>
    <t>PO-00011</t>
  </si>
  <si>
    <t>PO-00012</t>
  </si>
  <si>
    <t>PO-00013</t>
  </si>
  <si>
    <t>Electronics</t>
  </si>
  <si>
    <t>PO-00014</t>
  </si>
  <si>
    <t>PO-00015</t>
  </si>
  <si>
    <t>PO-00016</t>
  </si>
  <si>
    <t>PO-00017</t>
  </si>
  <si>
    <t>PO-00018</t>
  </si>
  <si>
    <t>PO-00019</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</si>
  <si>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</si>
  <si>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</si>
  <si>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</si>
  <si>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</si>
  <si>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</si>
  <si>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</si>
  <si>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</si>
  <si>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</si>
  <si>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</si>
  <si>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</si>
  <si>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</si>
  <si>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</si>
  <si>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</si>
  <si>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</si>
  <si>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</si>
  <si>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</si>
  <si>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</si>
  <si>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</si>
  <si>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</si>
  <si>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</si>
  <si>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</si>
  <si>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</si>
  <si>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</si>
  <si>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</si>
  <si>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</si>
  <si>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</si>
  <si>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</si>
  <si>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</si>
  <si>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</si>
  <si>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</si>
  <si>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</si>
  <si>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</si>
  <si>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</si>
  <si>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</si>
  <si>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</si>
  <si>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</si>
  <si>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</si>
  <si>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</si>
  <si>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</si>
  <si>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</si>
  <si>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</si>
  <si>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</si>
  <si>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</si>
  <si>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</si>
  <si>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</si>
  <si>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</si>
  <si>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</si>
  <si>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</si>
  <si>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</si>
  <si>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</si>
  <si>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</si>
  <si>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</si>
  <si>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</si>
  <si>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</si>
  <si>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</si>
  <si>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</si>
  <si>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</si>
  <si>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</si>
  <si>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</si>
  <si>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</si>
  <si>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</si>
  <si>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</si>
  <si>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</si>
  <si>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</si>
  <si>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</si>
  <si>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</si>
  <si>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</si>
  <si>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</si>
  <si>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</si>
  <si>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</si>
  <si>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</si>
  <si>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</si>
  <si>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</si>
  <si>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</si>
  <si>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</si>
  <si>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</si>
  <si>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</si>
  <si>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</si>
  <si>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</si>
  <si>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</si>
  <si>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</si>
  <si>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</si>
  <si>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</si>
  <si>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</si>
  <si>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</si>
  <si>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</si>
  <si>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</si>
  <si>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</si>
  <si>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</si>
  <si>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</si>
  <si>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</si>
  <si>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</si>
  <si>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</si>
  <si>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</si>
  <si>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</si>
  <si>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</si>
  <si>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</si>
  <si>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</si>
  <si>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</si>
  <si>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</si>
  <si>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</si>
  <si>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</si>
  <si>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</si>
  <si>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</si>
  <si>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</si>
  <si>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</si>
  <si>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</si>
  <si>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</si>
  <si>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</si>
  <si>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</si>
  <si>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</si>
  <si>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</si>
  <si>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</si>
  <si>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</si>
  <si>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</si>
  <si>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</si>
  <si>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</si>
  <si>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</si>
  <si>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</si>
  <si>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</si>
  <si>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</si>
  <si>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</si>
  <si>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</si>
  <si>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</si>
  <si>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</si>
  <si>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</si>
  <si>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</si>
  <si>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</si>
  <si>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</si>
  <si>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</si>
  <si>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</si>
  <si>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</si>
  <si>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</si>
  <si>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</si>
  <si>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</si>
  <si>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</si>
  <si>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</si>
  <si>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</si>
  <si>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</si>
  <si>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</si>
  <si>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</si>
  <si>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</si>
  <si>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</si>
  <si>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</si>
  <si>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</si>
  <si>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</si>
  <si>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</si>
  <si>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</si>
  <si>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</si>
  <si>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</si>
  <si>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</si>
  <si>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</si>
  <si>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</si>
  <si>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</si>
  <si>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</si>
  <si>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</si>
  <si>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</si>
  <si>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</si>
  <si>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</si>
  <si>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</si>
  <si>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</si>
  <si>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</si>
  <si>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</si>
  <si>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</si>
  <si>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</si>
  <si>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</si>
  <si>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</si>
  <si>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</si>
  <si>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</si>
  <si>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</si>
  <si>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</si>
  <si>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</si>
  <si>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</si>
  <si>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</si>
  <si>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</si>
  <si>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</si>
  <si>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</si>
  <si>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</si>
  <si>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</si>
  <si>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</si>
  <si>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</si>
  <si>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</si>
  <si>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</si>
  <si>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</si>
  <si>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</si>
  <si>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</si>
  <si>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</si>
  <si>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</si>
  <si>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</si>
  <si>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</si>
  <si>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</si>
  <si>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</si>
  <si>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</si>
  <si>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</si>
  <si>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</si>
  <si>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</si>
  <si>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</si>
  <si>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</si>
  <si>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</si>
  <si>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</si>
  <si>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</si>
  <si>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</si>
  <si>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</si>
  <si>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</si>
  <si>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</si>
  <si>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</si>
  <si>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</si>
  <si>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</si>
  <si>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</si>
  <si>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</si>
  <si>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</si>
  <si>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</si>
  <si>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</si>
  <si>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</si>
  <si>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</si>
  <si>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</si>
  <si>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</si>
  <si>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</si>
  <si>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</si>
  <si>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</si>
  <si>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</si>
  <si>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</si>
  <si>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</si>
  <si>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</si>
  <si>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</si>
  <si>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</si>
  <si>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</si>
  <si>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</si>
  <si>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</si>
  <si>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</si>
  <si>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</si>
  <si>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</si>
  <si>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</si>
  <si>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</si>
  <si>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</si>
  <si>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</si>
  <si>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</si>
  <si>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</si>
  <si>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</si>
  <si>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</si>
  <si>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</si>
  <si>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</si>
  <si>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</si>
  <si>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</si>
  <si>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</si>
  <si>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</si>
  <si>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</si>
  <si>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</si>
  <si>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</si>
  <si>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</si>
  <si>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</si>
  <si>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</si>
  <si>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</si>
  <si>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</si>
  <si>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</si>
  <si>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</si>
  <si>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</si>
  <si>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</si>
  <si>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</si>
  <si>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</si>
  <si>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</si>
  <si>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</si>
  <si>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</si>
  <si>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</si>
  <si>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</si>
  <si>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</si>
  <si>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</si>
  <si>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</si>
  <si>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</si>
  <si>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</si>
  <si>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</si>
  <si>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</si>
  <si>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</si>
  <si>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</si>
  <si>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</si>
  <si>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</si>
  <si>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</si>
  <si>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</si>
  <si>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</si>
  <si>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</si>
  <si>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</si>
  <si>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</si>
  <si>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</si>
  <si>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</si>
  <si>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</si>
  <si>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</si>
  <si>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</si>
  <si>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</si>
  <si>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</si>
  <si>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</si>
  <si>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</si>
  <si>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</si>
  <si>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</si>
  <si>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</si>
  <si>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</si>
  <si>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</si>
  <si>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</si>
  <si>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</si>
  <si>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</si>
  <si>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</si>
  <si>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</si>
  <si>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</si>
  <si>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</si>
  <si>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</si>
  <si>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</si>
  <si>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</si>
  <si>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</si>
  <si>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</si>
  <si>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</si>
  <si>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</si>
  <si>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</si>
  <si>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</si>
  <si>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</si>
  <si>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</si>
  <si>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</si>
  <si>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</si>
  <si>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</si>
  <si>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</si>
  <si>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</si>
  <si>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</si>
  <si>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</si>
  <si>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</si>
  <si>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</si>
  <si>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</si>
  <si>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</si>
  <si>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</si>
  <si>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</si>
  <si>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</si>
  <si>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</si>
  <si>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</si>
  <si>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</si>
  <si>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</si>
  <si>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</si>
  <si>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</si>
  <si>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</si>
  <si>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</si>
  <si>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</si>
  <si>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</si>
  <si>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</si>
  <si>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</si>
  <si>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</si>
  <si>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</si>
  <si>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</si>
  <si>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</si>
  <si>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</si>
  <si>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</si>
  <si>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</si>
  <si>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</si>
  <si>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</si>
  <si>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</si>
  <si>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</si>
  <si>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</si>
  <si>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</si>
  <si>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</si>
  <si>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</si>
  <si>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</si>
  <si>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</si>
  <si>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</si>
  <si>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</si>
  <si>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</si>
  <si>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</si>
  <si>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</si>
  <si>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</si>
  <si>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</si>
  <si>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</si>
  <si>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</si>
  <si>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</si>
  <si>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</si>
  <si>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</si>
  <si>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</si>
  <si>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</si>
  <si>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</si>
  <si>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</si>
  <si>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</si>
  <si>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</si>
  <si>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</si>
  <si>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</si>
  <si>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</si>
  <si>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</si>
  <si>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</si>
  <si>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</si>
  <si>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</si>
  <si>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</si>
  <si>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</si>
  <si>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</si>
  <si>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</si>
  <si>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</si>
  <si>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</si>
  <si>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</si>
  <si>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</si>
  <si>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</si>
  <si>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</si>
  <si>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</si>
  <si>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</si>
  <si>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</si>
  <si>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</si>
  <si>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</si>
  <si>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</si>
  <si>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</si>
  <si>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</si>
  <si>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</si>
  <si>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</si>
  <si>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</si>
  <si>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</si>
  <si>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</si>
  <si>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</si>
  <si>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</si>
  <si>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</si>
  <si>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</si>
  <si>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</si>
  <si>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</si>
  <si>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</si>
  <si>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</si>
  <si>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</si>
  <si>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</si>
  <si>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</si>
  <si>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</si>
  <si>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</si>
  <si>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</si>
  <si>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</si>
  <si>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</si>
  <si>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</si>
  <si>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</si>
  <si>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</si>
  <si>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</si>
  <si>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</si>
  <si>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</si>
  <si>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</si>
  <si>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</si>
  <si>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</si>
  <si>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</si>
  <si>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</si>
  <si>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</si>
  <si>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</si>
  <si>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</si>
  <si>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</si>
  <si>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</si>
  <si>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</si>
  <si>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</si>
  <si>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</si>
  <si>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</si>
  <si>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</si>
  <si>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</si>
  <si>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</si>
  <si>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</si>
  <si>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</si>
  <si>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</si>
  <si>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</si>
  <si>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</si>
  <si>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</si>
  <si>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</si>
  <si>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</si>
  <si>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</si>
  <si>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</si>
  <si>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</si>
  <si>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</si>
  <si>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</si>
  <si>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</si>
  <si>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</si>
  <si>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</si>
  <si>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</si>
  <si>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</si>
  <si>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</si>
  <si>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</si>
  <si>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</si>
  <si>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</si>
  <si>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</si>
  <si>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</si>
  <si>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</si>
  <si>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</si>
  <si>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</si>
  <si>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</si>
  <si>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</si>
  <si>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</si>
  <si>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</si>
  <si>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</si>
  <si>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</si>
  <si>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</si>
  <si>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</si>
  <si>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</si>
  <si>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</si>
  <si>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</si>
  <si>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</si>
  <si>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</si>
  <si>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</si>
  <si>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</si>
  <si>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</si>
  <si>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</si>
  <si>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</si>
  <si>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</si>
  <si>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</si>
  <si>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</si>
  <si>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</si>
  <si>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</si>
  <si>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</si>
  <si>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</si>
  <si>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</si>
  <si>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</si>
  <si>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</si>
  <si>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</si>
  <si>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</si>
  <si>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</si>
  <si>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</si>
  <si>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</si>
  <si>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</si>
  <si>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</si>
  <si>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</si>
  <si>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</si>
  <si>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</si>
  <si>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</si>
  <si>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</si>
  <si>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</si>
  <si>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</si>
  <si>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</si>
  <si>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</si>
  <si>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</si>
  <si>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</si>
  <si>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</si>
  <si>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</si>
  <si>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</si>
  <si>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</si>
  <si>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</si>
  <si>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</si>
  <si>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</si>
  <si>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</si>
  <si>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</si>
  <si>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</si>
  <si>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</si>
  <si>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</si>
  <si>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</si>
  <si>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</si>
  <si>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</si>
  <si>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</si>
  <si>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</si>
  <si>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</si>
  <si>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</si>
  <si>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</si>
  <si>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</si>
  <si>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</si>
  <si>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</si>
  <si>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</si>
  <si>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</si>
  <si>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</si>
  <si>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</si>
  <si>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</si>
  <si>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</si>
  <si>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</si>
  <si>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</si>
  <si>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</si>
  <si>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</si>
  <si>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</si>
  <si>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</si>
  <si>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</si>
  <si>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</si>
  <si>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</si>
  <si>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</si>
  <si>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</si>
  <si>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</si>
  <si>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</si>
  <si>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</si>
  <si>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</si>
  <si>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</si>
  <si>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</si>
  <si>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</si>
  <si>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</si>
  <si>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</si>
  <si>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</si>
  <si>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</si>
  <si>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</si>
  <si>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</si>
  <si>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</si>
  <si>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</si>
  <si>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</si>
  <si>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</si>
  <si>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</si>
  <si>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</si>
  <si>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</si>
  <si>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</si>
  <si>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</si>
  <si>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</si>
  <si>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</si>
  <si>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</si>
  <si>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</si>
  <si>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</si>
  <si>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</si>
  <si>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</si>
  <si>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</si>
  <si>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</si>
  <si>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</si>
  <si>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</si>
  <si>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</si>
  <si>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</si>
  <si>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</si>
  <si>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</si>
  <si>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</si>
  <si>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</si>
  <si>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</si>
  <si>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</si>
  <si>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</si>
  <si>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</si>
  <si>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</si>
  <si>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</si>
  <si>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</si>
  <si>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</si>
  <si>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</si>
  <si>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</si>
  <si>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</si>
  <si>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</si>
  <si>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</si>
  <si>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</si>
  <si>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</si>
  <si>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</si>
  <si>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</si>
  <si>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</si>
  <si>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</si>
  <si>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</si>
  <si>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PO-00636</t>
  </si>
  <si>
    <t>PO-00637</t>
  </si>
  <si>
    <t>PO-00638</t>
  </si>
  <si>
    <t>PO-00639</t>
  </si>
  <si>
    <t>PO-00640</t>
  </si>
  <si>
    <t>PO-00641</t>
  </si>
  <si>
    <t>PO-00642</t>
  </si>
  <si>
    <t>PO-00643</t>
  </si>
  <si>
    <t>PO-00644</t>
  </si>
  <si>
    <t>PO-00645</t>
  </si>
  <si>
    <t>PO-00646</t>
  </si>
  <si>
    <t>PO-00647</t>
  </si>
  <si>
    <t>PO-00648</t>
  </si>
  <si>
    <t>PO-00649</t>
  </si>
  <si>
    <t>PO-00650</t>
  </si>
  <si>
    <t>PO-00651</t>
  </si>
  <si>
    <t>PO-00652</t>
  </si>
  <si>
    <t>PO-00653</t>
  </si>
  <si>
    <t>PO-00654</t>
  </si>
  <si>
    <t>PO-00655</t>
  </si>
  <si>
    <t>PO-00656</t>
  </si>
  <si>
    <t>PO-00657</t>
  </si>
  <si>
    <t>PO-00658</t>
  </si>
  <si>
    <t>PO-00659</t>
  </si>
  <si>
    <t>PO-00660</t>
  </si>
  <si>
    <t>PO-00661</t>
  </si>
  <si>
    <t>PO-00662</t>
  </si>
  <si>
    <t>PO-00663</t>
  </si>
  <si>
    <t>PO-00664</t>
  </si>
  <si>
    <t>PO-00665</t>
  </si>
  <si>
    <t>PO-00666</t>
  </si>
  <si>
    <t>PO-00667</t>
  </si>
  <si>
    <t>PO-00668</t>
  </si>
  <si>
    <t>PO-00669</t>
  </si>
  <si>
    <t>PO-00670</t>
  </si>
  <si>
    <t>PO-00671</t>
  </si>
  <si>
    <t>PO-00672</t>
  </si>
  <si>
    <t>PO-00673</t>
  </si>
  <si>
    <t>PO-00674</t>
  </si>
  <si>
    <t>PO-00675</t>
  </si>
  <si>
    <t>PO-00676</t>
  </si>
  <si>
    <t>PO-00677</t>
  </si>
  <si>
    <t>PO-00678</t>
  </si>
  <si>
    <t>PO-00679</t>
  </si>
  <si>
    <t>PO-00680</t>
  </si>
  <si>
    <t>PO-00681</t>
  </si>
  <si>
    <t>PO-00682</t>
  </si>
  <si>
    <t>PO-00683</t>
  </si>
  <si>
    <t>PO-00684</t>
  </si>
  <si>
    <t>PO-00685</t>
  </si>
  <si>
    <t>PO-00686</t>
  </si>
  <si>
    <t>PO-00687</t>
  </si>
  <si>
    <t>PO-00688</t>
  </si>
  <si>
    <t>PO-00689</t>
  </si>
  <si>
    <t>PO-00690</t>
  </si>
  <si>
    <t>PO-00691</t>
  </si>
  <si>
    <t>PO-00692</t>
  </si>
  <si>
    <t>PO-00693</t>
  </si>
  <si>
    <t>PO-00694</t>
  </si>
  <si>
    <t>PO-00695</t>
  </si>
  <si>
    <t>PO-00696</t>
  </si>
  <si>
    <t>PO-00697</t>
  </si>
  <si>
    <t>PO-00698</t>
  </si>
  <si>
    <t>PO-00699</t>
  </si>
  <si>
    <t>PO-00700</t>
  </si>
  <si>
    <t>PO-00701</t>
  </si>
  <si>
    <t>PO-00702</t>
  </si>
  <si>
    <t>PO-00703</t>
  </si>
  <si>
    <t>PO-00704</t>
  </si>
  <si>
    <t>PO-00705</t>
  </si>
  <si>
    <t>PO-00706</t>
  </si>
  <si>
    <t>PO-00707</t>
  </si>
  <si>
    <t>PO-00708</t>
  </si>
  <si>
    <t>PO-00709</t>
  </si>
  <si>
    <t>PO-00710</t>
  </si>
  <si>
    <t>PO-00711</t>
  </si>
  <si>
    <t>PO-00712</t>
  </si>
  <si>
    <t>PO-00713</t>
  </si>
  <si>
    <t>PO-00714</t>
  </si>
  <si>
    <t>PO-00715</t>
  </si>
  <si>
    <t>PO-00716</t>
  </si>
  <si>
    <t>PO-00717</t>
  </si>
  <si>
    <t>PO-00718</t>
  </si>
  <si>
    <t>PO-00719</t>
  </si>
  <si>
    <t>PO-00720</t>
  </si>
  <si>
    <t>PO-00721</t>
  </si>
  <si>
    <t>PO-00722</t>
  </si>
  <si>
    <t>PO-00723</t>
  </si>
  <si>
    <t>PO-00724</t>
  </si>
  <si>
    <t>PO-00725</t>
  </si>
  <si>
    <t>PO-00726</t>
  </si>
  <si>
    <t>PO-00727</t>
  </si>
  <si>
    <t>PO-00728</t>
  </si>
  <si>
    <t>PO-00729</t>
  </si>
  <si>
    <t>PO-00730</t>
  </si>
  <si>
    <t>PO-00731</t>
  </si>
  <si>
    <t>PO-00732</t>
  </si>
  <si>
    <t>PO-00733</t>
  </si>
  <si>
    <t>PO-00734</t>
  </si>
  <si>
    <t>PO-00735</t>
  </si>
  <si>
    <t>PO-00736</t>
  </si>
  <si>
    <t>PO-00737</t>
  </si>
  <si>
    <t>PO-00738</t>
  </si>
  <si>
    <t>PO-00739</t>
  </si>
  <si>
    <t>PO-00740</t>
  </si>
  <si>
    <t>PO-00741</t>
  </si>
  <si>
    <t>PO-00742</t>
  </si>
  <si>
    <t>PO-00743</t>
  </si>
  <si>
    <t>PO-00744</t>
  </si>
  <si>
    <t>PO-00745</t>
  </si>
  <si>
    <t>PO-00746</t>
  </si>
  <si>
    <t>PO-00747</t>
  </si>
  <si>
    <t>PO-00748</t>
  </si>
  <si>
    <t>PO-00749</t>
  </si>
  <si>
    <t>PO-00750</t>
  </si>
  <si>
    <t>PO-00751</t>
  </si>
  <si>
    <t>PO-00752</t>
  </si>
  <si>
    <t>PO-00753</t>
  </si>
  <si>
    <t>PO-00754</t>
  </si>
  <si>
    <t>PO-00755</t>
  </si>
  <si>
    <t>PO-00756</t>
  </si>
  <si>
    <t>PO-00757</t>
  </si>
  <si>
    <t>PO-00758</t>
  </si>
  <si>
    <t>PO-00759</t>
  </si>
  <si>
    <t>PO-00760</t>
  </si>
  <si>
    <t>PO-00761</t>
  </si>
  <si>
    <t>PO-00762</t>
  </si>
  <si>
    <t>PO-00763</t>
  </si>
  <si>
    <t>PO-00764</t>
  </si>
  <si>
    <t>PO-00765</t>
  </si>
  <si>
    <t>PO-00766</t>
  </si>
  <si>
    <t>PO-00767</t>
  </si>
  <si>
    <t>PO-00768</t>
  </si>
  <si>
    <t>PO-00769</t>
  </si>
  <si>
    <t>PO-00770</t>
  </si>
  <si>
    <t>PO-00771</t>
  </si>
  <si>
    <t>PO-00772</t>
  </si>
  <si>
    <t>PO-00773</t>
  </si>
  <si>
    <t>PO-00774</t>
  </si>
  <si>
    <t>PO-00775</t>
  </si>
  <si>
    <t>PO-00776</t>
  </si>
  <si>
    <t>PO-00777</t>
  </si>
  <si>
    <t>Lead_Time</t>
  </si>
  <si>
    <t xml:space="preserve"> Total_Spend </t>
  </si>
  <si>
    <t xml:space="preserve"> Original_Spend </t>
  </si>
  <si>
    <t>Cost_Savings</t>
  </si>
  <si>
    <t>Savings_%</t>
  </si>
  <si>
    <t>Defect_Rate</t>
  </si>
  <si>
    <t>Delivery_Performance</t>
  </si>
  <si>
    <t>Row Labels</t>
  </si>
  <si>
    <t>Grand Total</t>
  </si>
  <si>
    <t>Count of PO_ID</t>
  </si>
  <si>
    <t xml:space="preserve">Sum of  Total_Spend </t>
  </si>
  <si>
    <t>Average of Lead_Time</t>
  </si>
  <si>
    <t>Sum of Defective_Units</t>
  </si>
  <si>
    <t>Sum of Quantity</t>
  </si>
  <si>
    <t>Sum of Cost_Savings</t>
  </si>
  <si>
    <t>Orders</t>
  </si>
  <si>
    <t>Supplier Analysis</t>
  </si>
  <si>
    <t>Performance</t>
  </si>
  <si>
    <t xml:space="preserve"> Category analysis</t>
  </si>
  <si>
    <t>Order Status Analysis</t>
  </si>
  <si>
    <t>Category Analysis</t>
  </si>
  <si>
    <t>del</t>
  </si>
  <si>
    <t>Data_Quality_Flag</t>
  </si>
  <si>
    <t>TOTAL SAVINGS</t>
  </si>
  <si>
    <t>TOTAL ORDERS</t>
  </si>
  <si>
    <t>TOTAL NEGOTIATED ORDER VALUE</t>
  </si>
  <si>
    <t>SAVINGS PERCENTAGE</t>
  </si>
  <si>
    <t>DEFECT PRODUCT PERCENTAGE</t>
  </si>
  <si>
    <t>TOTAL DEFECTIVE UNITS</t>
  </si>
  <si>
    <t>PENDING ORDER %</t>
  </si>
  <si>
    <t xml:space="preserve">COMPLIANCE RATE </t>
  </si>
  <si>
    <t>1. How much are we buying?</t>
  </si>
  <si>
    <t>2. Are we getting price savings?</t>
  </si>
  <si>
    <t>3. Which suppliers/categories matter most?</t>
  </si>
  <si>
    <t>4. Are orders being delivered properly?</t>
  </si>
  <si>
    <t>5. Are suppliers meeting quality/compliance expectations?</t>
  </si>
  <si>
    <t>6. Are procurement patterns changing over time?</t>
  </si>
  <si>
    <t>These are the questions to ask into the dashboard</t>
  </si>
  <si>
    <t>DELEVERED</t>
  </si>
  <si>
    <t>🛒  Procurement Dashboard</t>
  </si>
  <si>
    <t>2022</t>
  </si>
  <si>
    <t>2023</t>
  </si>
  <si>
    <t>2024</t>
  </si>
  <si>
    <t>Spend by date</t>
  </si>
  <si>
    <t>Average of Negotiated_Price</t>
  </si>
  <si>
    <t>Qtr1</t>
  </si>
  <si>
    <t>Qtr2</t>
  </si>
  <si>
    <t>Qtr3</t>
  </si>
  <si>
    <t>Qtr4</t>
  </si>
  <si>
    <t>Jan</t>
  </si>
  <si>
    <t>Feb</t>
  </si>
  <si>
    <t>Mar</t>
  </si>
  <si>
    <t>Apr</t>
  </si>
  <si>
    <t>May</t>
  </si>
  <si>
    <t>Jun</t>
  </si>
  <si>
    <t>Jul</t>
  </si>
  <si>
    <t>Aug</t>
  </si>
  <si>
    <t>Sep</t>
  </si>
  <si>
    <t>Oct</t>
  </si>
  <si>
    <t>Nov</t>
  </si>
  <si>
    <t>Dec</t>
  </si>
  <si>
    <t>Annual Procurement Spend</t>
  </si>
  <si>
    <t>Category spend</t>
  </si>
  <si>
    <t>Count of Order_Status</t>
  </si>
  <si>
    <t>Column Labels</t>
  </si>
  <si>
    <t>Count of Supplier</t>
  </si>
  <si>
    <t>Average of Unit_Price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</si>
</sst>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4"/>
      <color theme="1"/>
      <name val="Times New Roman"/>
      <family val="1"/>
    </font>
    <font>
      <i/>
      <sz val="14"/>
      <color theme="1"/>
      <name val="Times New Roman"/>
      <family val="1"/>
    </font>
    <font>
      <b/>
      <sz val="12"/>
      <color theme="1"/>
      <name val="Aptos Narrow"/>
      <family val="2"/>
      <scheme val="minor"/>
    </font>
    <font>
      <u/>
      <sz val="11"/>
      <color theme="10"/>
      <name val="Aptos Narrow"/>
      <family val="2"/>
      <scheme val="minor"/>
    </font>
    <font>
      <sz val="36"/>
      <color theme="1"/>
      <name val="Agency FB"/>
      <family val="2"/>
    </font>
    <font>
      <sz val="48"/>
      <color theme="1"/>
      <name val="Agency FB"/>
      <family val="2"/>
    </font>
    <font>
      <sz val="22"/>
      <color theme="1"/>
      <name val="Aptos Narrow"/>
      <family val="2"/>
      <scheme val="minor"/>
    </font>
    <font>
      <sz val="48"/>
      <color theme="0"/>
      <name val="ADLaM Display"/>
    </font>
    <font>
      <sz val="28"/>
      <color theme="1"/>
      <name val="Aptos Narrow"/>
      <family val="2"/>
      <scheme val="minor"/>
    </font>
    <font>
      <b/>
      <i/>
      <sz val="48"/>
      <color theme="1"/>
      <name val="Times New Roman"/>
      <family val="1"/>
    </font>
    <font>
      <i/>
      <sz val="48"/>
      <color theme="1"/>
      <name val="Times New Roman"/>
      <family val="1"/>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7"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5"/>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5">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0" fontId="21" fillId="0" borderId="0" applyNumberFormat="0" applyFill="0" applyBorder="0" applyAlignment="0" applyProtection="0"/>
  </cellStyleXfs>
  <cellXfs count="98">
    <xf numFmtId="0" fontId="0" fillId="0" borderId="0" xfId="0"/>
    <xf numFmtId="14" fontId="0" fillId="0" borderId="0" xfId="0" applyNumberFormat="1"/>
    <xf numFmtId="9" fontId="0" fillId="0" borderId="0" xfId="1" applyFont="1"/>
    <xf numFmtId="44" fontId="0" fillId="0" borderId="0" xfId="43" applyFont="1"/>
    <xf numFmtId="0" fontId="0" fillId="0" borderId="0" xfId="0" pivotButton="1"/>
    <xf numFmtId="0" fontId="0" fillId="0" borderId="0" xfId="0" applyAlignment="1">
      <alignment horizontal="left"/>
    </xf>
    <xf numFmtId="44" fontId="0" fillId="0" borderId="0" xfId="0" applyNumberFormat="1"/>
    <xf numFmtId="10" fontId="0" fillId="0" borderId="0" xfId="0" applyNumberFormat="1"/>
    <xf numFmtId="44" fontId="0" fillId="34" borderId="10" xfId="0" applyNumberFormat="1" applyFill="1" applyBorder="1"/>
    <xf numFmtId="10" fontId="0" fillId="34" borderId="10" xfId="0" applyNumberFormat="1" applyFill="1" applyBorder="1"/>
    <xf numFmtId="0" fontId="16" fillId="0" borderId="0" xfId="0" applyFont="1"/>
    <xf numFmtId="0" fontId="0" fillId="36" borderId="0" xfId="0" applyFill="1"/>
    <xf numFmtId="0" fontId="16" fillId="36" borderId="10" xfId="0" applyFont="1" applyFill="1" applyBorder="1"/>
    <xf numFmtId="0" fontId="20" fillId="35" borderId="0" xfId="0" applyFont="1" applyFill="1"/>
    <xf numFmtId="0" fontId="21" fillId="0" borderId="0" xfId="44"/>
    <xf numFmtId="0" fontId="22" fillId="34" borderId="0" xfId="0" applyFont="1" applyFill="1" applyAlignment="1">
      <alignment horizontal="center" vertical="center"/>
    </xf>
    <xf numFmtId="164" fontId="0" fillId="0" borderId="0" xfId="0" applyNumberFormat="1"/>
    <xf numFmtId="0" fontId="18" fillId="33" borderId="0" xfId="0" applyFont="1" applyFill="1" applyAlignment="1">
      <alignment horizontal="center"/>
    </xf>
    <xf numFmtId="0" fontId="0" fillId="33" borderId="0" xfId="0" applyFill="1" applyAlignment="1">
      <alignment horizontal="center"/>
    </xf>
    <xf numFmtId="0" fontId="0" fillId="42" borderId="19" xfId="0" applyFill="1" applyBorder="1" applyAlignment="1">
      <alignment horizontal="center"/>
    </xf>
    <xf numFmtId="0" fontId="0" fillId="42" borderId="20" xfId="0" applyFill="1" applyBorder="1" applyAlignment="1">
      <alignment horizontal="center"/>
    </xf>
    <xf numFmtId="0" fontId="0" fillId="42" borderId="21" xfId="0" applyFill="1" applyBorder="1" applyAlignment="1">
      <alignment horizontal="center"/>
    </xf>
    <xf numFmtId="0" fontId="0" fillId="42" borderId="22" xfId="0" applyFill="1" applyBorder="1" applyAlignment="1">
      <alignment horizontal="center"/>
    </xf>
    <xf numFmtId="0" fontId="0" fillId="42" borderId="0" xfId="0" applyFill="1" applyAlignment="1">
      <alignment horizontal="center"/>
    </xf>
    <xf numFmtId="0" fontId="0" fillId="42" borderId="23" xfId="0" applyFill="1" applyBorder="1" applyAlignment="1">
      <alignment horizontal="center"/>
    </xf>
    <xf numFmtId="0" fontId="0" fillId="42" borderId="24" xfId="0" applyFill="1" applyBorder="1" applyAlignment="1">
      <alignment horizontal="center"/>
    </xf>
    <xf numFmtId="0" fontId="0" fillId="42" borderId="25" xfId="0" applyFill="1" applyBorder="1" applyAlignment="1">
      <alignment horizontal="center"/>
    </xf>
    <xf numFmtId="0" fontId="0" fillId="42" borderId="26" xfId="0" applyFill="1" applyBorder="1" applyAlignment="1">
      <alignment horizontal="center"/>
    </xf>
    <xf numFmtId="0" fontId="0" fillId="38" borderId="19" xfId="0" applyFill="1" applyBorder="1" applyAlignment="1">
      <alignment horizontal="center"/>
    </xf>
    <xf numFmtId="0" fontId="0" fillId="38" borderId="20" xfId="0" applyFill="1" applyBorder="1" applyAlignment="1">
      <alignment horizontal="center"/>
    </xf>
    <xf numFmtId="0" fontId="0" fillId="38" borderId="21" xfId="0" applyFill="1" applyBorder="1" applyAlignment="1">
      <alignment horizontal="center"/>
    </xf>
    <xf numFmtId="0" fontId="0" fillId="38" borderId="22" xfId="0" applyFill="1" applyBorder="1" applyAlignment="1">
      <alignment horizontal="center"/>
    </xf>
    <xf numFmtId="0" fontId="0" fillId="38" borderId="0" xfId="0" applyFill="1" applyAlignment="1">
      <alignment horizontal="center"/>
    </xf>
    <xf numFmtId="0" fontId="0" fillId="38" borderId="23" xfId="0" applyFill="1" applyBorder="1" applyAlignment="1">
      <alignment horizontal="center"/>
    </xf>
    <xf numFmtId="0" fontId="0" fillId="38" borderId="24" xfId="0" applyFill="1" applyBorder="1" applyAlignment="1">
      <alignment horizontal="center"/>
    </xf>
    <xf numFmtId="0" fontId="0" fillId="38" borderId="25" xfId="0" applyFill="1" applyBorder="1" applyAlignment="1">
      <alignment horizontal="center"/>
    </xf>
    <xf numFmtId="0" fontId="0" fillId="38" borderId="26" xfId="0" applyFill="1" applyBorder="1" applyAlignment="1">
      <alignment horizontal="center"/>
    </xf>
    <xf numFmtId="0" fontId="25" fillId="41" borderId="11" xfId="0" applyFont="1" applyFill="1" applyBorder="1" applyAlignment="1">
      <alignment horizontal="center" vertical="center"/>
    </xf>
    <xf numFmtId="0" fontId="23" fillId="41" borderId="12" xfId="0" applyFont="1" applyFill="1" applyBorder="1" applyAlignment="1">
      <alignment horizontal="center" vertical="center"/>
    </xf>
    <xf numFmtId="0" fontId="23" fillId="41" borderId="13" xfId="0" applyFont="1" applyFill="1" applyBorder="1" applyAlignment="1">
      <alignment horizontal="center" vertical="center"/>
    </xf>
    <xf numFmtId="0" fontId="23" fillId="41" borderId="14" xfId="0" applyFont="1" applyFill="1" applyBorder="1" applyAlignment="1">
      <alignment horizontal="center" vertical="center"/>
    </xf>
    <xf numFmtId="0" fontId="23" fillId="41" borderId="0" xfId="0" applyFont="1" applyFill="1" applyAlignment="1">
      <alignment horizontal="center" vertical="center"/>
    </xf>
    <xf numFmtId="0" fontId="23" fillId="41" borderId="15" xfId="0" applyFont="1" applyFill="1" applyBorder="1" applyAlignment="1">
      <alignment horizontal="center" vertical="center"/>
    </xf>
    <xf numFmtId="0" fontId="23" fillId="41" borderId="16" xfId="0" applyFont="1" applyFill="1" applyBorder="1" applyAlignment="1">
      <alignment horizontal="center" vertical="center"/>
    </xf>
    <xf numFmtId="0" fontId="23" fillId="41" borderId="17" xfId="0" applyFont="1" applyFill="1" applyBorder="1" applyAlignment="1">
      <alignment horizontal="center" vertical="center"/>
    </xf>
    <xf numFmtId="0" fontId="23" fillId="41" borderId="18" xfId="0" applyFont="1" applyFill="1" applyBorder="1" applyAlignment="1">
      <alignment horizontal="center" vertical="center"/>
    </xf>
    <xf numFmtId="0" fontId="24" fillId="39" borderId="10" xfId="0" applyFont="1" applyFill="1" applyBorder="1" applyAlignment="1">
      <alignment vertical="center"/>
    </xf>
    <xf numFmtId="0" fontId="0" fillId="39" borderId="10" xfId="0" applyFill="1" applyBorder="1" applyAlignment="1">
      <alignment vertical="center"/>
    </xf>
    <xf numFmtId="0" fontId="0" fillId="35" borderId="19" xfId="0" applyFill="1" applyBorder="1" applyAlignment="1">
      <alignment horizontal="center"/>
    </xf>
    <xf numFmtId="0" fontId="0" fillId="35" borderId="20" xfId="0" applyFill="1" applyBorder="1" applyAlignment="1">
      <alignment horizontal="center"/>
    </xf>
    <xf numFmtId="0" fontId="0" fillId="35" borderId="21" xfId="0" applyFill="1" applyBorder="1" applyAlignment="1">
      <alignment horizontal="center"/>
    </xf>
    <xf numFmtId="0" fontId="0" fillId="35" borderId="22" xfId="0" applyFill="1" applyBorder="1" applyAlignment="1">
      <alignment horizontal="center"/>
    </xf>
    <xf numFmtId="0" fontId="0" fillId="35" borderId="0" xfId="0" applyFill="1" applyAlignment="1">
      <alignment horizontal="center"/>
    </xf>
    <xf numFmtId="0" fontId="0" fillId="35" borderId="23" xfId="0" applyFill="1" applyBorder="1" applyAlignment="1">
      <alignment horizontal="center"/>
    </xf>
    <xf numFmtId="0" fontId="0" fillId="35" borderId="24" xfId="0" applyFill="1" applyBorder="1" applyAlignment="1">
      <alignment horizontal="center"/>
    </xf>
    <xf numFmtId="0" fontId="0" fillId="35" borderId="25" xfId="0" applyFill="1" applyBorder="1" applyAlignment="1">
      <alignment horizontal="center"/>
    </xf>
    <xf numFmtId="0" fontId="0" fillId="35" borderId="26" xfId="0" applyFill="1" applyBorder="1" applyAlignment="1">
      <alignment horizontal="center"/>
    </xf>
    <xf numFmtId="0" fontId="0" fillId="40" borderId="19" xfId="0" applyFill="1" applyBorder="1" applyAlignment="1">
      <alignment horizontal="center"/>
    </xf>
    <xf numFmtId="0" fontId="0" fillId="40" borderId="20" xfId="0" applyFill="1" applyBorder="1" applyAlignment="1">
      <alignment horizontal="center"/>
    </xf>
    <xf numFmtId="0" fontId="0" fillId="40" borderId="21" xfId="0" applyFill="1" applyBorder="1" applyAlignment="1">
      <alignment horizontal="center"/>
    </xf>
    <xf numFmtId="0" fontId="0" fillId="40" borderId="22" xfId="0" applyFill="1" applyBorder="1" applyAlignment="1">
      <alignment horizontal="center"/>
    </xf>
    <xf numFmtId="0" fontId="0" fillId="40" borderId="0" xfId="0" applyFill="1" applyAlignment="1">
      <alignment horizontal="center"/>
    </xf>
    <xf numFmtId="0" fontId="0" fillId="40" borderId="23" xfId="0" applyFill="1" applyBorder="1" applyAlignment="1">
      <alignment horizontal="center"/>
    </xf>
    <xf numFmtId="0" fontId="0" fillId="40" borderId="24" xfId="0" applyFill="1" applyBorder="1" applyAlignment="1">
      <alignment horizontal="center"/>
    </xf>
    <xf numFmtId="0" fontId="0" fillId="40" borderId="25" xfId="0" applyFill="1" applyBorder="1" applyAlignment="1">
      <alignment horizontal="center"/>
    </xf>
    <xf numFmtId="0" fontId="0" fillId="40" borderId="26" xfId="0" applyFill="1" applyBorder="1" applyAlignment="1">
      <alignment horizontal="center"/>
    </xf>
    <xf numFmtId="0" fontId="0" fillId="37" borderId="19" xfId="0" applyFill="1" applyBorder="1" applyAlignment="1">
      <alignment horizontal="center"/>
    </xf>
    <xf numFmtId="0" fontId="0" fillId="37" borderId="20" xfId="0" applyFill="1" applyBorder="1" applyAlignment="1">
      <alignment horizontal="center"/>
    </xf>
    <xf numFmtId="0" fontId="0" fillId="37" borderId="21" xfId="0" applyFill="1" applyBorder="1" applyAlignment="1">
      <alignment horizontal="center"/>
    </xf>
    <xf numFmtId="0" fontId="0" fillId="37" borderId="22" xfId="0" applyFill="1" applyBorder="1" applyAlignment="1">
      <alignment horizontal="center"/>
    </xf>
    <xf numFmtId="0" fontId="0" fillId="37" borderId="0" xfId="0" applyFill="1" applyAlignment="1">
      <alignment horizontal="center"/>
    </xf>
    <xf numFmtId="0" fontId="0" fillId="37" borderId="23" xfId="0" applyFill="1" applyBorder="1" applyAlignment="1">
      <alignment horizontal="center"/>
    </xf>
    <xf numFmtId="0" fontId="0" fillId="37" borderId="24" xfId="0" applyFill="1" applyBorder="1" applyAlignment="1">
      <alignment horizontal="center"/>
    </xf>
    <xf numFmtId="0" fontId="0" fillId="37" borderId="25" xfId="0" applyFill="1" applyBorder="1" applyAlignment="1">
      <alignment horizontal="center"/>
    </xf>
    <xf numFmtId="0" fontId="0" fillId="37" borderId="26" xfId="0" applyFill="1" applyBorder="1" applyAlignment="1">
      <alignment horizontal="center"/>
    </xf>
    <xf numFmtId="0" fontId="0" fillId="0" borderId="0" xfId="0" applyAlignment="1">
      <alignment horizontal="left" indent="1"/>
    </xf>
    <xf numFmtId="0" fontId="0" fillId="0" borderId="0" xfId="0" applyNumberFormat="1"/>
    <xf numFmtId="2" fontId="0" fillId="0" borderId="0" xfId="0" pivotButton="1" applyNumberFormat="1"/>
    <xf numFmtId="2" fontId="0" fillId="0" borderId="0" xfId="0" applyNumberFormat="1"/>
    <xf numFmtId="2" fontId="0" fillId="0" borderId="0" xfId="0" applyNumberFormat="1" applyAlignment="1">
      <alignment horizontal="left"/>
    </xf>
    <xf numFmtId="2" fontId="0" fillId="0" borderId="0" xfId="0" applyNumberFormat="1" applyAlignment="1">
      <alignment horizontal="left" indent="1"/>
    </xf>
    <xf numFmtId="0" fontId="18" fillId="33" borderId="10" xfId="0" applyFont="1" applyFill="1" applyBorder="1" applyAlignment="1">
      <alignment horizontal="center"/>
    </xf>
    <xf numFmtId="0" fontId="19" fillId="33" borderId="10" xfId="0" applyFont="1" applyFill="1" applyBorder="1" applyAlignment="1">
      <alignment horizontal="center"/>
    </xf>
    <xf numFmtId="0" fontId="0" fillId="33" borderId="10" xfId="0" applyFill="1" applyBorder="1" applyAlignment="1">
      <alignment horizontal="center"/>
    </xf>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NumberFormat="1" applyBorder="1"/>
    <xf numFmtId="44" fontId="0" fillId="0" borderId="10" xfId="0" applyNumberFormat="1" applyBorder="1"/>
    <xf numFmtId="0" fontId="26" fillId="0" borderId="10" xfId="0" pivotButton="1" applyFont="1" applyBorder="1"/>
    <xf numFmtId="0" fontId="26" fillId="0" borderId="10" xfId="0" applyFont="1" applyBorder="1"/>
    <xf numFmtId="0" fontId="26" fillId="0" borderId="10" xfId="0" applyFont="1" applyBorder="1" applyAlignment="1">
      <alignment horizontal="left"/>
    </xf>
    <xf numFmtId="0" fontId="26" fillId="0" borderId="10" xfId="0" applyNumberFormat="1" applyFont="1" applyBorder="1"/>
    <xf numFmtId="44" fontId="26" fillId="0" borderId="10" xfId="0" applyNumberFormat="1" applyFont="1" applyBorder="1"/>
    <xf numFmtId="0" fontId="27" fillId="33" borderId="10" xfId="0" applyFont="1" applyFill="1" applyBorder="1" applyAlignment="1">
      <alignment horizontal="center"/>
    </xf>
    <xf numFmtId="0" fontId="28" fillId="33" borderId="10" xfId="0" applyFont="1" applyFill="1" applyBorder="1" applyAlignment="1">
      <alignment horizontal="center"/>
    </xf>
    <xf numFmtId="3" fontId="0" fillId="0" borderId="10" xfId="0" applyNumberFormat="1" applyBorder="1"/>
    <xf numFmtId="10" fontId="0" fillId="0" borderId="10" xfId="0" applyNumberFormat="1" applyBorder="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4"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34">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sz val="28"/>
      </font>
    </dxf>
    <dxf>
      <font>
        <sz val="28"/>
      </font>
    </dxf>
    <dxf>
      <font>
        <sz val="28"/>
      </font>
    </dxf>
    <dxf>
      <font>
        <sz val="28"/>
      </font>
    </dxf>
    <dxf>
      <font>
        <sz val="28"/>
      </font>
    </dxf>
    <dxf>
      <font>
        <sz val="28"/>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sz val="28"/>
      </font>
    </dxf>
    <dxf>
      <font>
        <sz val="28"/>
      </font>
    </dxf>
    <dxf>
      <font>
        <sz val="28"/>
      </font>
    </dxf>
    <dxf>
      <font>
        <sz val="28"/>
      </font>
    </dxf>
    <dxf>
      <font>
        <sz val="28"/>
      </font>
    </dxf>
    <dxf>
      <font>
        <sz val="28"/>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sz val="28"/>
      </font>
    </dxf>
    <dxf>
      <font>
        <sz val="28"/>
      </font>
    </dxf>
    <dxf>
      <font>
        <sz val="28"/>
      </font>
    </dxf>
    <dxf>
      <font>
        <sz val="28"/>
      </font>
    </dxf>
    <dxf>
      <font>
        <sz val="28"/>
      </font>
    </dxf>
    <dxf>
      <font>
        <sz val="28"/>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sz val="28"/>
      </font>
    </dxf>
    <dxf>
      <font>
        <sz val="28"/>
      </font>
    </dxf>
    <dxf>
      <font>
        <sz val="28"/>
      </font>
    </dxf>
    <dxf>
      <font>
        <sz val="28"/>
      </font>
    </dxf>
    <dxf>
      <font>
        <sz val="28"/>
      </font>
    </dxf>
    <dxf>
      <font>
        <sz val="28"/>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sz val="28"/>
      </font>
    </dxf>
    <dxf>
      <font>
        <sz val="28"/>
      </font>
    </dxf>
    <dxf>
      <font>
        <sz val="28"/>
      </font>
    </dxf>
    <dxf>
      <font>
        <sz val="28"/>
      </font>
    </dxf>
    <dxf>
      <font>
        <sz val="28"/>
      </font>
    </dxf>
    <dxf>
      <font>
        <sz val="28"/>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sz val="28"/>
      </font>
    </dxf>
    <dxf>
      <font>
        <sz val="28"/>
      </font>
    </dxf>
    <dxf>
      <font>
        <sz val="28"/>
      </font>
    </dxf>
    <dxf>
      <font>
        <sz val="28"/>
      </font>
    </dxf>
    <dxf>
      <font>
        <sz val="28"/>
      </font>
    </dxf>
    <dxf>
      <font>
        <sz val="28"/>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6"/>
      </font>
    </dxf>
    <dxf>
      <font>
        <sz val="26"/>
      </font>
    </dxf>
    <dxf>
      <font>
        <sz val="26"/>
      </font>
    </dxf>
    <dxf>
      <font>
        <sz val="26"/>
      </font>
    </dxf>
    <dxf>
      <font>
        <sz val="26"/>
      </font>
    </dxf>
    <dxf>
      <font>
        <sz val="26"/>
      </font>
    </dxf>
    <dxf>
      <font>
        <sz val="28"/>
      </font>
    </dxf>
    <dxf>
      <font>
        <sz val="22"/>
      </font>
    </dxf>
    <dxf>
      <font>
        <sz val="22"/>
      </font>
    </dxf>
    <dxf>
      <font>
        <sz val="22"/>
      </font>
    </dxf>
    <dxf>
      <font>
        <sz val="22"/>
      </font>
    </dxf>
    <dxf>
      <font>
        <sz val="22"/>
      </font>
    </dxf>
    <dxf>
      <font>
        <sz val="22"/>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Dataset.xlsx]Supplier Performance Analysis!PivotTable2</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Analysis'!$L$14</c:f>
              <c:strCache>
                <c:ptCount val="1"/>
                <c:pt idx="0">
                  <c:v>Sum of  Total_Spend </c:v>
                </c:pt>
              </c:strCache>
            </c:strRef>
          </c:tx>
          <c:spPr>
            <a:solidFill>
              <a:schemeClr val="accent1"/>
            </a:solidFill>
            <a:ln>
              <a:noFill/>
            </a:ln>
            <a:effectLst/>
          </c:spPr>
          <c:invertIfNegative val="0"/>
          <c:cat>
            <c:multiLvlStrRef>
              <c:f>'Supplier Performance Analysis'!$K$15:$K$42</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2022</c:v>
                  </c:pt>
                  <c:pt idx="12">
                    <c:v>2023</c:v>
                  </c:pt>
                  <c:pt idx="24">
                    <c:v>2024</c:v>
                  </c:pt>
                </c:lvl>
              </c:multiLvlStrCache>
            </c:multiLvlStrRef>
          </c:cat>
          <c:val>
            <c:numRef>
              <c:f>'Supplier Performance Analysis'!$L$15:$L$42</c:f>
              <c:numCache>
                <c:formatCode>_("₹"* #,##0.00_);_("₹"* \(#,##0.00\);_("₹"* "-"??_);_(@_)</c:formatCode>
                <c:ptCount val="25"/>
                <c:pt idx="0">
                  <c:v>1536378.9300000002</c:v>
                </c:pt>
                <c:pt idx="1">
                  <c:v>1377514.6600000001</c:v>
                </c:pt>
                <c:pt idx="2">
                  <c:v>2592704.3100000005</c:v>
                </c:pt>
                <c:pt idx="3">
                  <c:v>1928650.9099999997</c:v>
                </c:pt>
                <c:pt idx="4">
                  <c:v>1181945.98</c:v>
                </c:pt>
                <c:pt idx="5">
                  <c:v>1556825.0200000003</c:v>
                </c:pt>
                <c:pt idx="6">
                  <c:v>1293596.1100000001</c:v>
                </c:pt>
                <c:pt idx="7">
                  <c:v>2329232.23</c:v>
                </c:pt>
                <c:pt idx="8">
                  <c:v>2175996.8899999997</c:v>
                </c:pt>
                <c:pt idx="9">
                  <c:v>1782151.4299999997</c:v>
                </c:pt>
                <c:pt idx="10">
                  <c:v>1535245.54</c:v>
                </c:pt>
                <c:pt idx="11">
                  <c:v>2171086.6500000004</c:v>
                </c:pt>
                <c:pt idx="12">
                  <c:v>2276857.9900000007</c:v>
                </c:pt>
                <c:pt idx="13">
                  <c:v>1773987.8099999994</c:v>
                </c:pt>
                <c:pt idx="14">
                  <c:v>2744443.6599999997</c:v>
                </c:pt>
                <c:pt idx="15">
                  <c:v>1709713.8000000003</c:v>
                </c:pt>
                <c:pt idx="16">
                  <c:v>1511826.1999999997</c:v>
                </c:pt>
                <c:pt idx="17">
                  <c:v>1396136.4000000001</c:v>
                </c:pt>
                <c:pt idx="18">
                  <c:v>2365673.85</c:v>
                </c:pt>
                <c:pt idx="19">
                  <c:v>2010221.3300000003</c:v>
                </c:pt>
                <c:pt idx="20">
                  <c:v>2230645.2799999998</c:v>
                </c:pt>
                <c:pt idx="21">
                  <c:v>1869843.1999999997</c:v>
                </c:pt>
                <c:pt idx="22">
                  <c:v>2583675.2899999996</c:v>
                </c:pt>
                <c:pt idx="23">
                  <c:v>1270011.5699999998</c:v>
                </c:pt>
                <c:pt idx="24">
                  <c:v>169331.34999999998</c:v>
                </c:pt>
              </c:numCache>
            </c:numRef>
          </c:val>
          <c:extLst>
            <c:ext xmlns:c16="http://schemas.microsoft.com/office/drawing/2014/chart" uri="{C3380CC4-5D6E-409C-BE32-E72D297353CC}">
              <c16:uniqueId val="{00000000-E8B4-4155-92D6-74CFC9B65CC0}"/>
            </c:ext>
          </c:extLst>
        </c:ser>
        <c:dLbls>
          <c:showLegendKey val="0"/>
          <c:showVal val="0"/>
          <c:showCatName val="0"/>
          <c:showSerName val="0"/>
          <c:showPercent val="0"/>
          <c:showBubbleSize val="0"/>
        </c:dLbls>
        <c:gapWidth val="150"/>
        <c:axId val="1415357503"/>
        <c:axId val="1303149695"/>
      </c:barChart>
      <c:lineChart>
        <c:grouping val="standard"/>
        <c:varyColors val="0"/>
        <c:ser>
          <c:idx val="1"/>
          <c:order val="1"/>
          <c:tx>
            <c:strRef>
              <c:f>'Supplier Performance Analysis'!$M$14</c:f>
              <c:strCache>
                <c:ptCount val="1"/>
                <c:pt idx="0">
                  <c:v>Average of Negotiated_Price</c:v>
                </c:pt>
              </c:strCache>
            </c:strRef>
          </c:tx>
          <c:spPr>
            <a:ln w="28575" cap="rnd">
              <a:solidFill>
                <a:schemeClr val="accent2"/>
              </a:solidFill>
              <a:round/>
            </a:ln>
            <a:effectLst/>
          </c:spPr>
          <c:marker>
            <c:symbol val="none"/>
          </c:marker>
          <c:cat>
            <c:multiLvlStrRef>
              <c:f>'Supplier Performance Analysis'!$K$15:$K$42</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2022</c:v>
                  </c:pt>
                  <c:pt idx="12">
                    <c:v>2023</c:v>
                  </c:pt>
                  <c:pt idx="24">
                    <c:v>2024</c:v>
                  </c:pt>
                </c:lvl>
              </c:multiLvlStrCache>
            </c:multiLvlStrRef>
          </c:cat>
          <c:val>
            <c:numRef>
              <c:f>'Supplier Performance Analysis'!$M$15:$M$42</c:f>
              <c:numCache>
                <c:formatCode>_("₹"* #,##0.00_);_("₹"* \(#,##0.00\);_("₹"* "-"??_);_(@_)</c:formatCode>
                <c:ptCount val="25"/>
                <c:pt idx="0">
                  <c:v>48.464838709677409</c:v>
                </c:pt>
                <c:pt idx="1">
                  <c:v>45.254814814814829</c:v>
                </c:pt>
                <c:pt idx="2">
                  <c:v>49.961951219512187</c:v>
                </c:pt>
                <c:pt idx="3">
                  <c:v>49.469714285714289</c:v>
                </c:pt>
                <c:pt idx="4">
                  <c:v>49.394799999999996</c:v>
                </c:pt>
                <c:pt idx="5">
                  <c:v>48.424117647058829</c:v>
                </c:pt>
                <c:pt idx="6">
                  <c:v>51.327777777777783</c:v>
                </c:pt>
                <c:pt idx="7">
                  <c:v>54.450465116279076</c:v>
                </c:pt>
                <c:pt idx="8">
                  <c:v>52.498604651162772</c:v>
                </c:pt>
                <c:pt idx="9">
                  <c:v>57.390967741935484</c:v>
                </c:pt>
                <c:pt idx="10">
                  <c:v>49.047931034482751</c:v>
                </c:pt>
                <c:pt idx="11">
                  <c:v>53.062333333333314</c:v>
                </c:pt>
                <c:pt idx="12">
                  <c:v>67.439000000000007</c:v>
                </c:pt>
                <c:pt idx="13">
                  <c:v>56.920357142857142</c:v>
                </c:pt>
                <c:pt idx="14">
                  <c:v>56.17589743589744</c:v>
                </c:pt>
                <c:pt idx="15">
                  <c:v>50.709090909090911</c:v>
                </c:pt>
                <c:pt idx="16">
                  <c:v>65.498999999999995</c:v>
                </c:pt>
                <c:pt idx="17">
                  <c:v>57.576153846153844</c:v>
                </c:pt>
                <c:pt idx="18">
                  <c:v>49.582954545454527</c:v>
                </c:pt>
                <c:pt idx="19">
                  <c:v>54.546774193548387</c:v>
                </c:pt>
                <c:pt idx="20">
                  <c:v>59.693103448275856</c:v>
                </c:pt>
                <c:pt idx="21">
                  <c:v>56.402068965517259</c:v>
                </c:pt>
                <c:pt idx="22">
                  <c:v>55.952272727272721</c:v>
                </c:pt>
                <c:pt idx="23">
                  <c:v>54.170384615384627</c:v>
                </c:pt>
                <c:pt idx="24">
                  <c:v>66.515000000000001</c:v>
                </c:pt>
              </c:numCache>
            </c:numRef>
          </c:val>
          <c:smooth val="0"/>
          <c:extLst>
            <c:ext xmlns:c16="http://schemas.microsoft.com/office/drawing/2014/chart" uri="{C3380CC4-5D6E-409C-BE32-E72D297353CC}">
              <c16:uniqueId val="{00000001-E8B4-4155-92D6-74CFC9B65CC0}"/>
            </c:ext>
          </c:extLst>
        </c:ser>
        <c:dLbls>
          <c:showLegendKey val="0"/>
          <c:showVal val="0"/>
          <c:showCatName val="0"/>
          <c:showSerName val="0"/>
          <c:showPercent val="0"/>
          <c:showBubbleSize val="0"/>
        </c:dLbls>
        <c:marker val="1"/>
        <c:smooth val="0"/>
        <c:axId val="1322621455"/>
        <c:axId val="1303150655"/>
      </c:lineChart>
      <c:catAx>
        <c:axId val="141535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2">
                    <a:lumMod val="10000"/>
                  </a:schemeClr>
                </a:solidFill>
                <a:latin typeface="+mn-lt"/>
                <a:ea typeface="+mn-ea"/>
                <a:cs typeface="+mn-cs"/>
              </a:defRPr>
            </a:pPr>
            <a:endParaRPr lang="en-US"/>
          </a:p>
        </c:txPr>
        <c:crossAx val="1303149695"/>
        <c:crosses val="autoZero"/>
        <c:auto val="1"/>
        <c:lblAlgn val="ctr"/>
        <c:lblOffset val="100"/>
        <c:noMultiLvlLbl val="0"/>
      </c:catAx>
      <c:valAx>
        <c:axId val="130314969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415357503"/>
        <c:crosses val="autoZero"/>
        <c:crossBetween val="between"/>
      </c:valAx>
      <c:valAx>
        <c:axId val="1303150655"/>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322621455"/>
        <c:crosses val="max"/>
        <c:crossBetween val="between"/>
      </c:valAx>
      <c:catAx>
        <c:axId val="1322621455"/>
        <c:scaling>
          <c:orientation val="minMax"/>
        </c:scaling>
        <c:delete val="1"/>
        <c:axPos val="b"/>
        <c:numFmt formatCode="General" sourceLinked="1"/>
        <c:majorTickMark val="out"/>
        <c:minorTickMark val="none"/>
        <c:tickLblPos val="nextTo"/>
        <c:crossAx val="13031506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Dataset.xlsx]Supplier Performance Analysis!PivotTable4</c:name>
    <c:fmtId val="3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ADLaM Display" panose="02010000000000000000" pitchFamily="2" charset="0"/>
                <a:ea typeface="ADLaM Display" panose="02010000000000000000" pitchFamily="2" charset="0"/>
                <a:cs typeface="ADLaM Display" panose="02010000000000000000" pitchFamily="2" charset="0"/>
              </a:defRPr>
            </a:pPr>
            <a:r>
              <a:rPr lang="en-IN" sz="2000" b="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rPr>
              <a:t>Annual Procurement Spend</a:t>
            </a:r>
          </a:p>
        </c:rich>
      </c:tx>
      <c:layout>
        <c:manualLayout>
          <c:xMode val="edge"/>
          <c:yMode val="edge"/>
          <c:x val="0.30852077865266836"/>
          <c:y val="1.286818314377369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ADLaM Display" panose="02010000000000000000" pitchFamily="2" charset="0"/>
              <a:ea typeface="ADLaM Display" panose="02010000000000000000" pitchFamily="2" charset="0"/>
              <a:cs typeface="ADLaM Display" panose="02010000000000000000" pitchFamily="2" charset="0"/>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accent3">
                <a:lumMod val="60000"/>
                <a:lumOff val="40000"/>
              </a:schemeClr>
            </a:solidFill>
          </a:ln>
          <a:effectLst/>
        </c:spPr>
      </c:pivotFmt>
      <c:pivotFmt>
        <c:idx val="2"/>
        <c:spPr>
          <a:solidFill>
            <a:srgbClr val="7030A0"/>
          </a:solidFill>
          <a:ln>
            <a:noFill/>
          </a:ln>
          <a:effectLst/>
        </c:spPr>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pivotFmt>
      <c:pivotFmt>
        <c:idx val="5"/>
        <c:spPr>
          <a:solidFill>
            <a:schemeClr val="accent1">
              <a:lumMod val="60000"/>
              <a:lumOff val="40000"/>
            </a:schemeClr>
          </a:solidFill>
          <a:ln>
            <a:solidFill>
              <a:schemeClr val="accent3">
                <a:lumMod val="60000"/>
                <a:lumOff val="40000"/>
              </a:schemeClr>
            </a:solidFill>
          </a:ln>
          <a:effectLst/>
        </c:spPr>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pivotFmt>
      <c:pivotFmt>
        <c:idx val="8"/>
        <c:spPr>
          <a:solidFill>
            <a:srgbClr val="002060"/>
          </a:solidFill>
          <a:ln>
            <a:solidFill>
              <a:schemeClr val="accent3">
                <a:lumMod val="60000"/>
                <a:lumOff val="40000"/>
              </a:schemeClr>
            </a:solidFill>
          </a:ln>
          <a:effectLst/>
        </c:spPr>
      </c:pivotFmt>
    </c:pivotFmts>
    <c:plotArea>
      <c:layout/>
      <c:barChart>
        <c:barDir val="col"/>
        <c:grouping val="clustered"/>
        <c:varyColors val="0"/>
        <c:ser>
          <c:idx val="0"/>
          <c:order val="0"/>
          <c:tx>
            <c:strRef>
              <c:f>'Supplier Performance Analysis'!$Z$6</c:f>
              <c:strCache>
                <c:ptCount val="1"/>
                <c:pt idx="0">
                  <c:v>Total</c:v>
                </c:pt>
              </c:strCache>
            </c:strRef>
          </c:tx>
          <c:spPr>
            <a:solidFill>
              <a:srgbClr val="002060"/>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8366-4CB2-940C-6A5499C652D2}"/>
              </c:ext>
            </c:extLst>
          </c:dPt>
          <c:dPt>
            <c:idx val="1"/>
            <c:invertIfNegative val="0"/>
            <c:bubble3D val="0"/>
            <c:spPr>
              <a:solidFill>
                <a:srgbClr val="002060"/>
              </a:solidFill>
              <a:ln>
                <a:solidFill>
                  <a:schemeClr val="accent3">
                    <a:lumMod val="60000"/>
                    <a:lumOff val="40000"/>
                  </a:schemeClr>
                </a:solidFill>
              </a:ln>
              <a:effectLst/>
            </c:spPr>
            <c:extLst>
              <c:ext xmlns:c16="http://schemas.microsoft.com/office/drawing/2014/chart" uri="{C3380CC4-5D6E-409C-BE32-E72D297353CC}">
                <c16:uniqueId val="{00000003-8366-4CB2-940C-6A5499C652D2}"/>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Analysis'!$Y$7:$Y$9</c:f>
              <c:strCache>
                <c:ptCount val="3"/>
                <c:pt idx="0">
                  <c:v>2022</c:v>
                </c:pt>
                <c:pt idx="1">
                  <c:v>2023</c:v>
                </c:pt>
                <c:pt idx="2">
                  <c:v>2024</c:v>
                </c:pt>
              </c:strCache>
            </c:strRef>
          </c:cat>
          <c:val>
            <c:numRef>
              <c:f>'Supplier Performance Analysis'!$Z$7:$Z$9</c:f>
              <c:numCache>
                <c:formatCode>_("₹"* #,##0.00_);_("₹"* \(#,##0.00\);_("₹"* "-"??_);_(@_)</c:formatCode>
                <c:ptCount val="3"/>
                <c:pt idx="0">
                  <c:v>21461328.660000008</c:v>
                </c:pt>
                <c:pt idx="1">
                  <c:v>23743036.380000006</c:v>
                </c:pt>
                <c:pt idx="2">
                  <c:v>169331.34999999998</c:v>
                </c:pt>
              </c:numCache>
            </c:numRef>
          </c:val>
          <c:extLst>
            <c:ext xmlns:c16="http://schemas.microsoft.com/office/drawing/2014/chart" uri="{C3380CC4-5D6E-409C-BE32-E72D297353CC}">
              <c16:uniqueId val="{00000004-8366-4CB2-940C-6A5499C652D2}"/>
            </c:ext>
          </c:extLst>
        </c:ser>
        <c:dLbls>
          <c:showLegendKey val="0"/>
          <c:showVal val="0"/>
          <c:showCatName val="0"/>
          <c:showSerName val="0"/>
          <c:showPercent val="0"/>
          <c:showBubbleSize val="0"/>
        </c:dLbls>
        <c:gapWidth val="219"/>
        <c:overlap val="-27"/>
        <c:axId val="1354919407"/>
        <c:axId val="1303178975"/>
      </c:barChart>
      <c:catAx>
        <c:axId val="135491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crossAx val="1303178975"/>
        <c:crosses val="autoZero"/>
        <c:auto val="1"/>
        <c:lblAlgn val="ctr"/>
        <c:lblOffset val="100"/>
        <c:noMultiLvlLbl val="0"/>
      </c:catAx>
      <c:valAx>
        <c:axId val="1303178975"/>
        <c:scaling>
          <c:orientation val="minMax"/>
        </c:scaling>
        <c:delete val="0"/>
        <c:axPos val="l"/>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2">
                    <a:lumMod val="10000"/>
                  </a:schemeClr>
                </a:solidFill>
                <a:latin typeface="+mn-lt"/>
                <a:ea typeface="+mn-ea"/>
                <a:cs typeface="+mn-cs"/>
              </a:defRPr>
            </a:pPr>
            <a:endParaRPr lang="en-US"/>
          </a:p>
        </c:txPr>
        <c:crossAx val="135491940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Dataset.xlsx]Supplier Performance Analysis!PivotTable6</c:name>
    <c:fmtId val="4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ln>
                    <a:noFill/>
                  </a:ln>
                  <a:solidFill>
                    <a:schemeClr val="bg1">
                      <a:alpha val="94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0"/>
              <c:y val="9.2592592592592587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ln>
                    <a:noFill/>
                  </a:ln>
                  <a:solidFill>
                    <a:schemeClr val="bg1">
                      <a:alpha val="94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133367419981593"/>
          <c:y val="0.11036313205960939"/>
          <c:w val="0.56551249275658722"/>
          <c:h val="0.83739338617761816"/>
        </c:manualLayout>
      </c:layout>
      <c:doughnutChart>
        <c:varyColors val="1"/>
        <c:ser>
          <c:idx val="0"/>
          <c:order val="0"/>
          <c:tx>
            <c:strRef>
              <c:f>'Supplier Performance Analysis'!$Y$19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4F-486D-BF82-7797123ABF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4F-486D-BF82-7797123ABF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4F-486D-BF82-7797123ABF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4F-486D-BF82-7797123ABF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54F-486D-BF82-7797123ABF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54F-486D-BF82-7797123ABF10}"/>
              </c:ext>
            </c:extLst>
          </c:dPt>
          <c:dLbls>
            <c:dLbl>
              <c:idx val="5"/>
              <c:layout>
                <c:manualLayout>
                  <c:x val="0"/>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54F-486D-BF82-7797123ABF1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ln>
                      <a:noFill/>
                    </a:ln>
                    <a:solidFill>
                      <a:schemeClr val="bg1">
                        <a:alpha val="94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'Supplier Performance Analysis'!$X$20:$X$25</c:f>
              <c:strCache>
                <c:ptCount val="6"/>
                <c:pt idx="0">
                  <c:v>del</c:v>
                </c:pt>
                <c:pt idx="1">
                  <c:v>Electronics</c:v>
                </c:pt>
                <c:pt idx="2">
                  <c:v>MRO</c:v>
                </c:pt>
                <c:pt idx="3">
                  <c:v>Office Supplies</c:v>
                </c:pt>
                <c:pt idx="4">
                  <c:v>Packaging</c:v>
                </c:pt>
                <c:pt idx="5">
                  <c:v>Raw Materials</c:v>
                </c:pt>
              </c:strCache>
            </c:strRef>
          </c:cat>
          <c:val>
            <c:numRef>
              <c:f>'Supplier Performance Analysis'!$Y$20:$Y$25</c:f>
              <c:numCache>
                <c:formatCode>_("₹"* #,##0.00_);_("₹"* \(#,##0.00\);_("₹"* "-"??_);_(@_)</c:formatCode>
                <c:ptCount val="6"/>
                <c:pt idx="0">
                  <c:v>12004.2</c:v>
                </c:pt>
                <c:pt idx="1">
                  <c:v>8642550.6000000071</c:v>
                </c:pt>
                <c:pt idx="2">
                  <c:v>10126608.859999996</c:v>
                </c:pt>
                <c:pt idx="3">
                  <c:v>10007583.030000001</c:v>
                </c:pt>
                <c:pt idx="4">
                  <c:v>8125712.4799999977</c:v>
                </c:pt>
                <c:pt idx="5">
                  <c:v>8459237.2200000007</c:v>
                </c:pt>
              </c:numCache>
            </c:numRef>
          </c:val>
          <c:extLst>
            <c:ext xmlns:c16="http://schemas.microsoft.com/office/drawing/2014/chart" uri="{C3380CC4-5D6E-409C-BE32-E72D297353CC}">
              <c16:uniqueId val="{0000000C-B54F-486D-BF82-7797123ABF10}"/>
            </c:ext>
          </c:extLst>
        </c:ser>
        <c:dLbls>
          <c:showLegendKey val="0"/>
          <c:showVal val="0"/>
          <c:showCatName val="0"/>
          <c:showSerName val="0"/>
          <c:showPercent val="0"/>
          <c:showBubbleSize val="0"/>
          <c:showLeaderLines val="0"/>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Dataset.xlsx]Supplier Performance Analysis!PivotTable7</c:name>
    <c:fmtId val="17"/>
  </c:pivotSource>
  <c:chart>
    <c:title>
      <c:tx>
        <c:rich>
          <a:bodyPr rot="0" spcFirstLastPara="1" vertOverflow="ellipsis" vert="horz" wrap="square" anchor="ctr" anchorCtr="1"/>
          <a:lstStyle/>
          <a:p>
            <a:pPr>
              <a:defRPr sz="2400" b="1" i="0" u="none" strike="noStrike" kern="1200" spc="0" baseline="0">
                <a:ln>
                  <a:noFill/>
                </a:ln>
                <a:solidFill>
                  <a:schemeClr val="tx1"/>
                </a:solidFill>
                <a:latin typeface="+mn-lt"/>
                <a:ea typeface="+mn-ea"/>
                <a:cs typeface="+mn-cs"/>
              </a:defRPr>
            </a:pPr>
            <a:r>
              <a:rPr lang="en-US" sz="2400" b="1">
                <a:solidFill>
                  <a:schemeClr val="tx1"/>
                </a:solidFill>
              </a:rPr>
              <a:t>Order</a:t>
            </a:r>
            <a:r>
              <a:rPr lang="en-US" sz="2400" b="1" baseline="0">
                <a:solidFill>
                  <a:schemeClr val="tx1"/>
                </a:solidFill>
              </a:rPr>
              <a:t> Status Distribution</a:t>
            </a:r>
            <a:endParaRPr lang="en-US" sz="2400" b="1">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24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FFC000"/>
          </a:solidFill>
          <a:ln>
            <a:noFill/>
          </a:ln>
          <a:effectLst/>
        </c:spPr>
      </c:pivotFmt>
      <c:pivotFmt>
        <c:idx val="3"/>
        <c:spPr>
          <a:solidFill>
            <a:srgbClr val="FF0000"/>
          </a:solidFill>
          <a:ln>
            <a:noFill/>
          </a:ln>
          <a:effectLst/>
        </c:spPr>
      </c:pivotFmt>
      <c:pivotFmt>
        <c:idx val="4"/>
        <c:spPr>
          <a:solidFill>
            <a:srgbClr val="00B0F0"/>
          </a:solidFill>
          <a:ln>
            <a:noFill/>
          </a:ln>
          <a:effectLst/>
        </c:spP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pivotFmt>
      <c:pivotFmt>
        <c:idx val="7"/>
        <c:spPr>
          <a:solidFill>
            <a:srgbClr val="FFC000"/>
          </a:solidFill>
          <a:ln>
            <a:noFill/>
          </a:ln>
          <a:effectLst/>
        </c:spPr>
      </c:pivotFmt>
      <c:pivotFmt>
        <c:idx val="8"/>
        <c:spPr>
          <a:solidFill>
            <a:srgbClr val="FF0000"/>
          </a:solidFill>
          <a:ln>
            <a:noFill/>
          </a:ln>
          <a:effectLst/>
        </c:spPr>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pivotFmt>
      <c:pivotFmt>
        <c:idx val="11"/>
        <c:spPr>
          <a:solidFill>
            <a:srgbClr val="FFC000"/>
          </a:solidFill>
          <a:ln>
            <a:noFill/>
          </a:ln>
          <a:effectLst/>
        </c:spPr>
      </c:pivotFmt>
      <c:pivotFmt>
        <c:idx val="12"/>
        <c:spPr>
          <a:solidFill>
            <a:srgbClr val="FF0000"/>
          </a:solidFill>
          <a:ln>
            <a:noFill/>
          </a:ln>
          <a:effectLst/>
        </c:spPr>
      </c:pivotFmt>
    </c:pivotFmts>
    <c:plotArea>
      <c:layout/>
      <c:barChart>
        <c:barDir val="bar"/>
        <c:grouping val="clustered"/>
        <c:varyColors val="0"/>
        <c:ser>
          <c:idx val="0"/>
          <c:order val="0"/>
          <c:tx>
            <c:strRef>
              <c:f>'Supplier Performance Analysis'!$B$21</c:f>
              <c:strCache>
                <c:ptCount val="1"/>
                <c:pt idx="0">
                  <c:v>Total</c:v>
                </c:pt>
              </c:strCache>
            </c:strRef>
          </c:tx>
          <c:spPr>
            <a:solidFill>
              <a:schemeClr val="accent6"/>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8BE2-4876-9FCE-E1DF1FAB3A61}"/>
              </c:ext>
            </c:extLst>
          </c:dPt>
          <c:dPt>
            <c:idx val="2"/>
            <c:invertIfNegative val="0"/>
            <c:bubble3D val="0"/>
            <c:spPr>
              <a:solidFill>
                <a:srgbClr val="FFC000"/>
              </a:solidFill>
              <a:ln>
                <a:noFill/>
              </a:ln>
              <a:effectLst/>
            </c:spPr>
            <c:extLst>
              <c:ext xmlns:c16="http://schemas.microsoft.com/office/drawing/2014/chart" uri="{C3380CC4-5D6E-409C-BE32-E72D297353CC}">
                <c16:uniqueId val="{00000003-8BE2-4876-9FCE-E1DF1FAB3A61}"/>
              </c:ext>
            </c:extLst>
          </c:dPt>
          <c:dPt>
            <c:idx val="3"/>
            <c:invertIfNegative val="0"/>
            <c:bubble3D val="0"/>
            <c:spPr>
              <a:solidFill>
                <a:srgbClr val="FF0000"/>
              </a:solidFill>
              <a:ln>
                <a:noFill/>
              </a:ln>
              <a:effectLst/>
            </c:spPr>
            <c:extLst>
              <c:ext xmlns:c16="http://schemas.microsoft.com/office/drawing/2014/chart" uri="{C3380CC4-5D6E-409C-BE32-E72D297353CC}">
                <c16:uniqueId val="{00000005-8BE2-4876-9FCE-E1DF1FAB3A61}"/>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Analysis'!$A$22:$A$26</c:f>
              <c:strCache>
                <c:ptCount val="4"/>
                <c:pt idx="0">
                  <c:v>Cancelled</c:v>
                </c:pt>
                <c:pt idx="1">
                  <c:v>Delivered</c:v>
                </c:pt>
                <c:pt idx="2">
                  <c:v>Partially Delivered</c:v>
                </c:pt>
                <c:pt idx="3">
                  <c:v>Pending</c:v>
                </c:pt>
              </c:strCache>
            </c:strRef>
          </c:cat>
          <c:val>
            <c:numRef>
              <c:f>'Supplier Performance Analysis'!$B$22:$B$26</c:f>
              <c:numCache>
                <c:formatCode>General</c:formatCode>
                <c:ptCount val="4"/>
                <c:pt idx="0">
                  <c:v>63</c:v>
                </c:pt>
                <c:pt idx="1">
                  <c:v>560</c:v>
                </c:pt>
                <c:pt idx="2">
                  <c:v>73</c:v>
                </c:pt>
                <c:pt idx="3">
                  <c:v>81</c:v>
                </c:pt>
              </c:numCache>
            </c:numRef>
          </c:val>
          <c:extLst>
            <c:ext xmlns:c16="http://schemas.microsoft.com/office/drawing/2014/chart" uri="{C3380CC4-5D6E-409C-BE32-E72D297353CC}">
              <c16:uniqueId val="{00000006-8BE2-4876-9FCE-E1DF1FAB3A61}"/>
            </c:ext>
          </c:extLst>
        </c:ser>
        <c:dLbls>
          <c:showLegendKey val="0"/>
          <c:showVal val="0"/>
          <c:showCatName val="0"/>
          <c:showSerName val="0"/>
          <c:showPercent val="0"/>
          <c:showBubbleSize val="0"/>
        </c:dLbls>
        <c:gapWidth val="182"/>
        <c:overlap val="2"/>
        <c:axId val="1303378799"/>
        <c:axId val="1303182335"/>
      </c:barChart>
      <c:catAx>
        <c:axId val="1303378799"/>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ln>
                  <a:noFill/>
                </a:ln>
                <a:solidFill>
                  <a:schemeClr val="tx1"/>
                </a:solidFill>
                <a:latin typeface="+mn-lt"/>
                <a:ea typeface="+mn-ea"/>
                <a:cs typeface="+mn-cs"/>
              </a:defRPr>
            </a:pPr>
            <a:endParaRPr lang="en-US"/>
          </a:p>
        </c:txPr>
        <c:crossAx val="1303182335"/>
        <c:crosses val="autoZero"/>
        <c:auto val="1"/>
        <c:lblAlgn val="ctr"/>
        <c:lblOffset val="100"/>
        <c:noMultiLvlLbl val="0"/>
      </c:catAx>
      <c:valAx>
        <c:axId val="13031823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ln>
                      <a:noFill/>
                    </a:ln>
                    <a:solidFill>
                      <a:schemeClr val="tx1"/>
                    </a:solidFill>
                    <a:latin typeface="+mn-lt"/>
                    <a:ea typeface="+mn-ea"/>
                    <a:cs typeface="+mn-cs"/>
                  </a:defRPr>
                </a:pPr>
                <a:r>
                  <a:rPr lang="en-IN" sz="2000" b="1">
                    <a:solidFill>
                      <a:schemeClr val="tx1"/>
                    </a:solidFill>
                  </a:rPr>
                  <a:t>Number</a:t>
                </a:r>
                <a:r>
                  <a:rPr lang="en-IN" sz="2000" b="1" baseline="0">
                    <a:solidFill>
                      <a:schemeClr val="tx1"/>
                    </a:solidFill>
                  </a:rPr>
                  <a:t> of Pos</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baseline="0">
                  <a:ln>
                    <a:noFill/>
                  </a:ln>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ln>
                  <a:noFill/>
                </a:ln>
                <a:solidFill>
                  <a:schemeClr val="tx1"/>
                </a:solidFill>
                <a:latin typeface="+mn-lt"/>
                <a:ea typeface="+mn-ea"/>
                <a:cs typeface="+mn-cs"/>
              </a:defRPr>
            </a:pPr>
            <a:endParaRPr lang="en-US"/>
          </a:p>
        </c:txPr>
        <c:crossAx val="130337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Dataset.xlsx]Supplier Performance Analysis!PivotTable8</c:name>
    <c:fmtId val="8"/>
  </c:pivotSource>
  <c:chart>
    <c:title>
      <c:tx>
        <c:rich>
          <a:bodyPr rot="0" spcFirstLastPara="1" vertOverflow="ellipsis" vert="horz" wrap="square" anchor="ctr" anchorCtr="1"/>
          <a:lstStyle/>
          <a:p>
            <a:pPr>
              <a:defRPr sz="2400" b="1" i="0" u="none" strike="noStrike" kern="1200" spc="0" baseline="0">
                <a:solidFill>
                  <a:schemeClr val="tx1">
                    <a:lumMod val="95000"/>
                    <a:lumOff val="5000"/>
                  </a:schemeClr>
                </a:solidFill>
                <a:latin typeface="+mn-lt"/>
                <a:ea typeface="+mn-ea"/>
                <a:cs typeface="+mn-cs"/>
              </a:defRPr>
            </a:pPr>
            <a:r>
              <a:rPr lang="en-IN" sz="2400" b="1">
                <a:solidFill>
                  <a:schemeClr val="tx1">
                    <a:lumMod val="95000"/>
                    <a:lumOff val="5000"/>
                  </a:schemeClr>
                </a:solidFill>
              </a:rPr>
              <a:t>Supplier</a:t>
            </a:r>
            <a:r>
              <a:rPr lang="en-IN" sz="2400" b="1" baseline="0">
                <a:solidFill>
                  <a:schemeClr val="tx1">
                    <a:lumMod val="95000"/>
                    <a:lumOff val="5000"/>
                  </a:schemeClr>
                </a:solidFill>
              </a:rPr>
              <a:t> Compliance Rate</a:t>
            </a:r>
            <a:endParaRPr lang="en-IN" sz="24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6"/>
          </a:solidFill>
          <a:ln>
            <a:noFill/>
          </a:ln>
          <a:effectLst/>
        </c:spPr>
      </c:pivotFmt>
      <c:pivotFmt>
        <c:idx val="20"/>
        <c:spPr>
          <a:solidFill>
            <a:schemeClr val="accent6"/>
          </a:solidFill>
          <a:ln>
            <a:noFill/>
          </a:ln>
          <a:effectLst/>
        </c:spPr>
      </c:pivotFmt>
      <c:pivotFmt>
        <c:idx val="2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pivotFmt>
      <c:pivotFmt>
        <c:idx val="24"/>
        <c:spPr>
          <a:solidFill>
            <a:schemeClr val="accent6"/>
          </a:solidFill>
          <a:ln>
            <a:noFill/>
          </a:ln>
          <a:effectLst/>
        </c:spPr>
      </c:pivotFmt>
      <c:pivotFmt>
        <c:idx val="25"/>
        <c:spPr>
          <a:solidFill>
            <a:schemeClr val="accent6"/>
          </a:solidFill>
          <a:ln>
            <a:noFill/>
          </a:ln>
          <a:effectLst/>
        </c:spPr>
      </c:pivotFmt>
      <c:pivotFmt>
        <c:idx val="26"/>
        <c:spPr>
          <a:solidFill>
            <a:schemeClr val="accent6"/>
          </a:solidFill>
          <a:ln>
            <a:noFill/>
          </a:ln>
          <a:effectLst/>
        </c:spPr>
      </c:pivotFmt>
      <c:pivotFmt>
        <c:idx val="27"/>
        <c:spPr>
          <a:solidFill>
            <a:schemeClr val="accent6"/>
          </a:solidFill>
          <a:ln>
            <a:noFill/>
          </a:ln>
          <a:effectLst/>
        </c:spPr>
      </c:pivotFmt>
      <c:pivotFmt>
        <c:idx val="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pivotFmt>
      <c:pivotFmt>
        <c:idx val="31"/>
        <c:spPr>
          <a:solidFill>
            <a:schemeClr val="accent6"/>
          </a:solidFill>
          <a:ln>
            <a:noFill/>
          </a:ln>
          <a:effectLst/>
        </c:spPr>
      </c:pivotFmt>
      <c:pivotFmt>
        <c:idx val="32"/>
        <c:spPr>
          <a:solidFill>
            <a:schemeClr val="accent6"/>
          </a:solidFill>
          <a:ln>
            <a:noFill/>
          </a:ln>
          <a:effectLst/>
        </c:spPr>
      </c:pivotFmt>
      <c:pivotFmt>
        <c:idx val="33"/>
        <c:spPr>
          <a:solidFill>
            <a:schemeClr val="accent6"/>
          </a:solidFill>
          <a:ln>
            <a:noFill/>
          </a:ln>
          <a:effectLst/>
        </c:spPr>
      </c:pivotFmt>
      <c:pivotFmt>
        <c:idx val="34"/>
        <c:spPr>
          <a:solidFill>
            <a:schemeClr val="accent6"/>
          </a:solidFill>
          <a:ln>
            <a:noFill/>
          </a:ln>
          <a:effectLst/>
        </c:spPr>
      </c:pivotFmt>
    </c:pivotFmts>
    <c:plotArea>
      <c:layout/>
      <c:barChart>
        <c:barDir val="col"/>
        <c:grouping val="clustered"/>
        <c:varyColors val="0"/>
        <c:ser>
          <c:idx val="0"/>
          <c:order val="0"/>
          <c:tx>
            <c:strRef>
              <c:f>'Supplier Performance Analysis'!$B$28:$B$29</c:f>
              <c:strCache>
                <c:ptCount val="1"/>
                <c:pt idx="0">
                  <c:v>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Analysis'!$A$30:$A$35</c:f>
              <c:strCache>
                <c:ptCount val="5"/>
                <c:pt idx="0">
                  <c:v>Alpha_Inc</c:v>
                </c:pt>
                <c:pt idx="1">
                  <c:v>Beta_Supplies</c:v>
                </c:pt>
                <c:pt idx="2">
                  <c:v>Delta_Logistics</c:v>
                </c:pt>
                <c:pt idx="3">
                  <c:v>Epsilon_Group</c:v>
                </c:pt>
                <c:pt idx="4">
                  <c:v>Gamma_Co</c:v>
                </c:pt>
              </c:strCache>
            </c:strRef>
          </c:cat>
          <c:val>
            <c:numRef>
              <c:f>'Supplier Performance Analysis'!$B$30:$B$35</c:f>
              <c:numCache>
                <c:formatCode>General</c:formatCode>
                <c:ptCount val="5"/>
                <c:pt idx="0">
                  <c:v>9</c:v>
                </c:pt>
                <c:pt idx="1">
                  <c:v>38</c:v>
                </c:pt>
                <c:pt idx="2">
                  <c:v>67</c:v>
                </c:pt>
                <c:pt idx="3">
                  <c:v>3</c:v>
                </c:pt>
                <c:pt idx="4">
                  <c:v>20</c:v>
                </c:pt>
              </c:numCache>
            </c:numRef>
          </c:val>
          <c:extLst>
            <c:ext xmlns:c16="http://schemas.microsoft.com/office/drawing/2014/chart" uri="{C3380CC4-5D6E-409C-BE32-E72D297353CC}">
              <c16:uniqueId val="{00000000-9C31-4547-871F-8D588D440010}"/>
            </c:ext>
          </c:extLst>
        </c:ser>
        <c:ser>
          <c:idx val="1"/>
          <c:order val="1"/>
          <c:tx>
            <c:strRef>
              <c:f>'Supplier Performance Analysis'!$C$28:$C$29</c:f>
              <c:strCache>
                <c:ptCount val="1"/>
                <c:pt idx="0">
                  <c:v>Yes</c:v>
                </c:pt>
              </c:strCache>
            </c:strRef>
          </c:tx>
          <c:spPr>
            <a:solidFill>
              <a:schemeClr val="accent2"/>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9C31-4547-871F-8D588D440010}"/>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4-9C31-4547-871F-8D588D440010}"/>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6-9C31-4547-871F-8D588D440010}"/>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8-9C31-4547-871F-8D588D440010}"/>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A-9C31-4547-871F-8D588D440010}"/>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Analysis'!$A$30:$A$35</c:f>
              <c:strCache>
                <c:ptCount val="5"/>
                <c:pt idx="0">
                  <c:v>Alpha_Inc</c:v>
                </c:pt>
                <c:pt idx="1">
                  <c:v>Beta_Supplies</c:v>
                </c:pt>
                <c:pt idx="2">
                  <c:v>Delta_Logistics</c:v>
                </c:pt>
                <c:pt idx="3">
                  <c:v>Epsilon_Group</c:v>
                </c:pt>
                <c:pt idx="4">
                  <c:v>Gamma_Co</c:v>
                </c:pt>
              </c:strCache>
            </c:strRef>
          </c:cat>
          <c:val>
            <c:numRef>
              <c:f>'Supplier Performance Analysis'!$C$30:$C$35</c:f>
              <c:numCache>
                <c:formatCode>General</c:formatCode>
                <c:ptCount val="5"/>
                <c:pt idx="0">
                  <c:v>132</c:v>
                </c:pt>
                <c:pt idx="1">
                  <c:v>118</c:v>
                </c:pt>
                <c:pt idx="2">
                  <c:v>104</c:v>
                </c:pt>
                <c:pt idx="3">
                  <c:v>163</c:v>
                </c:pt>
                <c:pt idx="4">
                  <c:v>123</c:v>
                </c:pt>
              </c:numCache>
            </c:numRef>
          </c:val>
          <c:extLst>
            <c:ext xmlns:c16="http://schemas.microsoft.com/office/drawing/2014/chart" uri="{C3380CC4-5D6E-409C-BE32-E72D297353CC}">
              <c16:uniqueId val="{0000000B-9C31-4547-871F-8D588D440010}"/>
            </c:ext>
          </c:extLst>
        </c:ser>
        <c:dLbls>
          <c:dLblPos val="outEnd"/>
          <c:showLegendKey val="0"/>
          <c:showVal val="1"/>
          <c:showCatName val="0"/>
          <c:showSerName val="0"/>
          <c:showPercent val="0"/>
          <c:showBubbleSize val="0"/>
        </c:dLbls>
        <c:gapWidth val="219"/>
        <c:overlap val="-27"/>
        <c:axId val="1322636767"/>
        <c:axId val="1303203935"/>
      </c:barChart>
      <c:catAx>
        <c:axId val="1322636767"/>
        <c:scaling>
          <c:orientation val="minMax"/>
        </c:scaling>
        <c:delete val="0"/>
        <c:axPos val="b"/>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IN" sz="2000" b="1"/>
                  <a:t>Supplier</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2">
                    <a:lumMod val="10000"/>
                  </a:schemeClr>
                </a:solidFill>
                <a:latin typeface="+mn-lt"/>
                <a:ea typeface="+mn-ea"/>
                <a:cs typeface="+mn-cs"/>
              </a:defRPr>
            </a:pPr>
            <a:endParaRPr lang="en-US"/>
          </a:p>
        </c:txPr>
        <c:crossAx val="1303203935"/>
        <c:crosses val="autoZero"/>
        <c:auto val="1"/>
        <c:lblAlgn val="ctr"/>
        <c:lblOffset val="100"/>
        <c:noMultiLvlLbl val="0"/>
      </c:catAx>
      <c:valAx>
        <c:axId val="1303203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IN" b="1">
                    <a:solidFill>
                      <a:schemeClr val="tx1">
                        <a:lumMod val="95000"/>
                        <a:lumOff val="5000"/>
                      </a:schemeClr>
                    </a:solidFill>
                  </a:rPr>
                  <a:t>Number</a:t>
                </a:r>
                <a:r>
                  <a:rPr lang="en-IN" b="1" baseline="0">
                    <a:solidFill>
                      <a:schemeClr val="tx1">
                        <a:lumMod val="95000"/>
                        <a:lumOff val="5000"/>
                      </a:schemeClr>
                    </a:solidFill>
                  </a:rPr>
                  <a:t> of POs</a:t>
                </a:r>
                <a:endParaRPr lang="en-IN" b="1">
                  <a:solidFill>
                    <a:schemeClr val="tx1">
                      <a:lumMod val="95000"/>
                      <a:lumOff val="5000"/>
                    </a:schemeClr>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322636767"/>
        <c:crosses val="autoZero"/>
        <c:crossBetween val="between"/>
      </c:valAx>
      <c:spPr>
        <a:noFill/>
        <a:ln>
          <a:noFill/>
        </a:ln>
        <a:effectLst/>
      </c:spPr>
    </c:plotArea>
    <c:legend>
      <c:legendPos val="r"/>
      <c:layout>
        <c:manualLayout>
          <c:xMode val="edge"/>
          <c:yMode val="edge"/>
          <c:x val="0.84504662371748995"/>
          <c:y val="0.42383055643618001"/>
          <c:w val="0.15255391964044485"/>
          <c:h val="0.1960350690523478"/>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Dataset.xlsx]Sheet2!PivotTable10</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Average of Unit_Price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Sheet2!$A$4:$A$16</c:f>
              <c:multiLvlStrCache>
                <c:ptCount val="9"/>
                <c:lvl>
                  <c:pt idx="0">
                    <c:v>Qtr1</c:v>
                  </c:pt>
                  <c:pt idx="1">
                    <c:v>Qtr2</c:v>
                  </c:pt>
                  <c:pt idx="2">
                    <c:v>Qtr3</c:v>
                  </c:pt>
                  <c:pt idx="3">
                    <c:v>Qtr4</c:v>
                  </c:pt>
                  <c:pt idx="4">
                    <c:v>Qtr1</c:v>
                  </c:pt>
                  <c:pt idx="5">
                    <c:v>Qtr2</c:v>
                  </c:pt>
                  <c:pt idx="6">
                    <c:v>Qtr3</c:v>
                  </c:pt>
                  <c:pt idx="7">
                    <c:v>Qtr4</c:v>
                  </c:pt>
                  <c:pt idx="8">
                    <c:v>Qtr1</c:v>
                  </c:pt>
                </c:lvl>
                <c:lvl>
                  <c:pt idx="0">
                    <c:v>2022</c:v>
                  </c:pt>
                  <c:pt idx="4">
                    <c:v>2023</c:v>
                  </c:pt>
                  <c:pt idx="8">
                    <c:v>2024</c:v>
                  </c:pt>
                </c:lvl>
              </c:multiLvlStrCache>
            </c:multiLvlStrRef>
          </c:cat>
          <c:val>
            <c:numRef>
              <c:f>Sheet2!$B$4:$B$16</c:f>
              <c:numCache>
                <c:formatCode>0.00</c:formatCode>
                <c:ptCount val="9"/>
                <c:pt idx="0">
                  <c:v>52.261919191919198</c:v>
                </c:pt>
                <c:pt idx="1">
                  <c:v>53.368829787234041</c:v>
                </c:pt>
                <c:pt idx="2">
                  <c:v>57.16424778761062</c:v>
                </c:pt>
                <c:pt idx="3">
                  <c:v>58.244</c:v>
                </c:pt>
                <c:pt idx="4">
                  <c:v>65.076185567010313</c:v>
                </c:pt>
                <c:pt idx="5">
                  <c:v>61.389620253164551</c:v>
                </c:pt>
                <c:pt idx="6">
                  <c:v>58.644807692307694</c:v>
                </c:pt>
                <c:pt idx="7">
                  <c:v>60.474646464646462</c:v>
                </c:pt>
                <c:pt idx="8">
                  <c:v>73.094999999999999</c:v>
                </c:pt>
              </c:numCache>
            </c:numRef>
          </c:val>
          <c:smooth val="0"/>
          <c:extLst>
            <c:ext xmlns:c16="http://schemas.microsoft.com/office/drawing/2014/chart" uri="{C3380CC4-5D6E-409C-BE32-E72D297353CC}">
              <c16:uniqueId val="{00000000-1B7C-4068-864F-68C54C656195}"/>
            </c:ext>
          </c:extLst>
        </c:ser>
        <c:ser>
          <c:idx val="1"/>
          <c:order val="1"/>
          <c:tx>
            <c:strRef>
              <c:f>Sheet2!$C$3</c:f>
              <c:strCache>
                <c:ptCount val="1"/>
                <c:pt idx="0">
                  <c:v>Average of Negotiated_Price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Sheet2!$A$4:$A$16</c:f>
              <c:multiLvlStrCache>
                <c:ptCount val="9"/>
                <c:lvl>
                  <c:pt idx="0">
                    <c:v>Qtr1</c:v>
                  </c:pt>
                  <c:pt idx="1">
                    <c:v>Qtr2</c:v>
                  </c:pt>
                  <c:pt idx="2">
                    <c:v>Qtr3</c:v>
                  </c:pt>
                  <c:pt idx="3">
                    <c:v>Qtr4</c:v>
                  </c:pt>
                  <c:pt idx="4">
                    <c:v>Qtr1</c:v>
                  </c:pt>
                  <c:pt idx="5">
                    <c:v>Qtr2</c:v>
                  </c:pt>
                  <c:pt idx="6">
                    <c:v>Qtr3</c:v>
                  </c:pt>
                  <c:pt idx="7">
                    <c:v>Qtr4</c:v>
                  </c:pt>
                  <c:pt idx="8">
                    <c:v>Qtr1</c:v>
                  </c:pt>
                </c:lvl>
                <c:lvl>
                  <c:pt idx="0">
                    <c:v>2022</c:v>
                  </c:pt>
                  <c:pt idx="4">
                    <c:v>2023</c:v>
                  </c:pt>
                  <c:pt idx="8">
                    <c:v>2024</c:v>
                  </c:pt>
                </c:lvl>
              </c:multiLvlStrCache>
            </c:multiLvlStrRef>
          </c:cat>
          <c:val>
            <c:numRef>
              <c:f>Sheet2!$C$4:$C$16</c:f>
              <c:numCache>
                <c:formatCode>0.00</c:formatCode>
                <c:ptCount val="9"/>
                <c:pt idx="0">
                  <c:v>48.209393939393934</c:v>
                </c:pt>
                <c:pt idx="1">
                  <c:v>49.071595744680849</c:v>
                </c:pt>
                <c:pt idx="2">
                  <c:v>52.961592920353979</c:v>
                </c:pt>
                <c:pt idx="3">
                  <c:v>53.259777777777778</c:v>
                </c:pt>
                <c:pt idx="4">
                  <c:v>59.874226804123715</c:v>
                </c:pt>
                <c:pt idx="5">
                  <c:v>56.713417721518987</c:v>
                </c:pt>
                <c:pt idx="6">
                  <c:v>53.881730769230771</c:v>
                </c:pt>
                <c:pt idx="7">
                  <c:v>55.616060606060607</c:v>
                </c:pt>
                <c:pt idx="8">
                  <c:v>66.515000000000001</c:v>
                </c:pt>
              </c:numCache>
            </c:numRef>
          </c:val>
          <c:smooth val="0"/>
          <c:extLst>
            <c:ext xmlns:c16="http://schemas.microsoft.com/office/drawing/2014/chart" uri="{C3380CC4-5D6E-409C-BE32-E72D297353CC}">
              <c16:uniqueId val="{00000001-1B7C-4068-864F-68C54C656195}"/>
            </c:ext>
          </c:extLst>
        </c:ser>
        <c:dLbls>
          <c:showLegendKey val="0"/>
          <c:showVal val="0"/>
          <c:showCatName val="0"/>
          <c:showSerName val="0"/>
          <c:showPercent val="0"/>
          <c:showBubbleSize val="0"/>
        </c:dLbls>
        <c:marker val="1"/>
        <c:smooth val="0"/>
        <c:axId val="1428493631"/>
        <c:axId val="1196042943"/>
      </c:lineChart>
      <c:catAx>
        <c:axId val="142849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2">
                    <a:lumMod val="10000"/>
                  </a:schemeClr>
                </a:solidFill>
                <a:latin typeface="+mn-lt"/>
                <a:ea typeface="+mn-ea"/>
                <a:cs typeface="+mn-cs"/>
              </a:defRPr>
            </a:pPr>
            <a:endParaRPr lang="en-US"/>
          </a:p>
        </c:txPr>
        <c:crossAx val="1196042943"/>
        <c:crosses val="autoZero"/>
        <c:auto val="1"/>
        <c:lblAlgn val="ctr"/>
        <c:lblOffset val="100"/>
        <c:noMultiLvlLbl val="0"/>
      </c:catAx>
      <c:valAx>
        <c:axId val="1196042943"/>
        <c:scaling>
          <c:orientation val="minMax"/>
          <c:max val="80"/>
          <c:min val="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bg2">
                        <a:lumMod val="10000"/>
                      </a:schemeClr>
                    </a:solidFill>
                    <a:latin typeface="+mn-lt"/>
                    <a:ea typeface="+mn-ea"/>
                    <a:cs typeface="+mn-cs"/>
                  </a:defRPr>
                </a:pPr>
                <a:r>
                  <a:rPr lang="en-IN" sz="2000" b="1">
                    <a:solidFill>
                      <a:schemeClr val="bg2">
                        <a:lumMod val="10000"/>
                      </a:schemeClr>
                    </a:solidFill>
                  </a:rPr>
                  <a:t>Price</a:t>
                </a:r>
                <a:r>
                  <a:rPr lang="en-IN" sz="2000" b="1" baseline="0">
                    <a:solidFill>
                      <a:schemeClr val="bg2">
                        <a:lumMod val="10000"/>
                      </a:schemeClr>
                    </a:solidFill>
                  </a:rPr>
                  <a:t> (</a:t>
                </a:r>
                <a:r>
                  <a:rPr lang="en-IN" sz="2000" b="1" i="0" u="none" strike="noStrike" baseline="0">
                    <a:solidFill>
                      <a:schemeClr val="bg2">
                        <a:lumMod val="10000"/>
                      </a:schemeClr>
                    </a:solidFill>
                    <a:effectLst/>
                  </a:rPr>
                  <a:t>₹)</a:t>
                </a:r>
                <a:r>
                  <a:rPr lang="en-IN" sz="2000" b="1" i="0" u="none" strike="noStrike" baseline="0">
                    <a:solidFill>
                      <a:schemeClr val="bg2">
                        <a:lumMod val="10000"/>
                      </a:schemeClr>
                    </a:solidFill>
                  </a:rPr>
                  <a:t> </a:t>
                </a:r>
                <a:endParaRPr lang="en-IN" sz="2000" b="1">
                  <a:solidFill>
                    <a:schemeClr val="bg2">
                      <a:lumMod val="10000"/>
                    </a:schemeClr>
                  </a:solidFill>
                </a:endParaRPr>
              </a:p>
            </c:rich>
          </c:tx>
          <c:layout>
            <c:manualLayout>
              <c:xMode val="edge"/>
              <c:yMode val="edge"/>
              <c:x val="1.3888888888888888E-2"/>
              <c:y val="0.3501698745990085"/>
            </c:manualLayout>
          </c:layout>
          <c:overlay val="0"/>
          <c:spPr>
            <a:noFill/>
            <a:ln>
              <a:noFill/>
            </a:ln>
            <a:effectLst/>
          </c:spPr>
          <c:txPr>
            <a:bodyPr rot="-5400000" spcFirstLastPara="1" vertOverflow="ellipsis" vert="horz" wrap="square" anchor="ctr" anchorCtr="1"/>
            <a:lstStyle/>
            <a:p>
              <a:pPr>
                <a:defRPr sz="2000" b="1" i="0" u="none" strike="noStrike" kern="1200" baseline="0">
                  <a:solidFill>
                    <a:schemeClr val="bg2">
                      <a:lumMod val="10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2">
                    <a:lumMod val="10000"/>
                  </a:schemeClr>
                </a:solidFill>
                <a:latin typeface="+mn-lt"/>
                <a:ea typeface="+mn-ea"/>
                <a:cs typeface="+mn-cs"/>
              </a:defRPr>
            </a:pPr>
            <a:endParaRPr lang="en-US"/>
          </a:p>
        </c:txPr>
        <c:crossAx val="1428493631"/>
        <c:crosses val="autoZero"/>
        <c:crossBetween val="between"/>
        <c:maj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32</xdr:col>
      <xdr:colOff>635700</xdr:colOff>
      <xdr:row>14</xdr:row>
      <xdr:rowOff>43200</xdr:rowOff>
    </xdr:from>
    <xdr:to>
      <xdr:col>37</xdr:col>
      <xdr:colOff>146050</xdr:colOff>
      <xdr:row>36</xdr:row>
      <xdr:rowOff>57150</xdr:rowOff>
    </xdr:to>
    <mc:AlternateContent xmlns:mc="http://schemas.openxmlformats.org/markup-compatibility/2006">
      <mc:Choice xmlns:a14="http://schemas.microsoft.com/office/drawing/2010/main" Requires="a14">
        <xdr:graphicFrame macro="">
          <xdr:nvGraphicFramePr>
            <xdr:cNvPr id="6" name="Supplier">
              <a:extLst>
                <a:ext uri="{FF2B5EF4-FFF2-40B4-BE49-F238E27FC236}">
                  <a16:creationId xmlns:a16="http://schemas.microsoft.com/office/drawing/2014/main" id="{EC32CD27-8DC4-43C5-A321-559D95A8370E}"/>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35973450" y="2710200"/>
              <a:ext cx="4034725" cy="42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547686</xdr:colOff>
      <xdr:row>6</xdr:row>
      <xdr:rowOff>86081</xdr:rowOff>
    </xdr:from>
    <xdr:ext cx="2428875" cy="862031"/>
    <xdr:sp macro="" textlink="">
      <xdr:nvSpPr>
        <xdr:cNvPr id="2" name="TextBox 1">
          <a:extLst>
            <a:ext uri="{FF2B5EF4-FFF2-40B4-BE49-F238E27FC236}">
              <a16:creationId xmlns:a16="http://schemas.microsoft.com/office/drawing/2014/main" id="{58290C50-A727-5466-BCED-BD279A77118F}"/>
            </a:ext>
          </a:extLst>
        </xdr:cNvPr>
        <xdr:cNvSpPr txBox="1"/>
      </xdr:nvSpPr>
      <xdr:spPr>
        <a:xfrm>
          <a:off x="1452561" y="1229081"/>
          <a:ext cx="2428875" cy="862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300" b="0" u="none">
              <a:solidFill>
                <a:schemeClr val="bg1"/>
              </a:solidFill>
              <a:latin typeface="ADLaM Display" panose="02010000000000000000" pitchFamily="2" charset="0"/>
              <a:ea typeface="ADLaM Display" panose="02010000000000000000" pitchFamily="2" charset="0"/>
              <a:cs typeface="ADLaM Display" panose="02010000000000000000" pitchFamily="2" charset="0"/>
            </a:rPr>
            <a:t>TOTAL ORDERS</a:t>
          </a:r>
          <a:r>
            <a:rPr lang="en-IN" sz="2300" b="0" u="none"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777</a:t>
          </a:r>
          <a:endParaRPr lang="en-IN" sz="2300" b="0" u="none">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oneCellAnchor>
    <xdr:from>
      <xdr:col>6</xdr:col>
      <xdr:colOff>333373</xdr:colOff>
      <xdr:row>6</xdr:row>
      <xdr:rowOff>119063</xdr:rowOff>
    </xdr:from>
    <xdr:ext cx="3309938" cy="872098"/>
    <xdr:sp macro="" textlink="">
      <xdr:nvSpPr>
        <xdr:cNvPr id="3" name="TextBox 2">
          <a:extLst>
            <a:ext uri="{FF2B5EF4-FFF2-40B4-BE49-F238E27FC236}">
              <a16:creationId xmlns:a16="http://schemas.microsoft.com/office/drawing/2014/main" id="{82EA5B09-4F80-1B1A-E94C-377DF6A84638}"/>
            </a:ext>
          </a:extLst>
        </xdr:cNvPr>
        <xdr:cNvSpPr txBox="1"/>
      </xdr:nvSpPr>
      <xdr:spPr>
        <a:xfrm>
          <a:off x="5762623" y="1262063"/>
          <a:ext cx="3309938" cy="8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3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IN" sz="2300">
              <a:solidFill>
                <a:schemeClr val="bg1"/>
              </a:solidFill>
              <a:latin typeface="ADLaM Display" panose="02010000000000000000" pitchFamily="2" charset="0"/>
              <a:ea typeface="ADLaM Display" panose="02010000000000000000" pitchFamily="2" charset="0"/>
              <a:cs typeface="ADLaM Display" panose="02010000000000000000" pitchFamily="2" charset="0"/>
            </a:rPr>
            <a:t>ORDER VALUE</a:t>
          </a:r>
        </a:p>
        <a:p>
          <a:r>
            <a:rPr lang="en-IN" sz="2300">
              <a:solidFill>
                <a:schemeClr val="bg1"/>
              </a:solidFill>
              <a:latin typeface="ADLaM Display" panose="02010000000000000000" pitchFamily="2" charset="0"/>
              <a:ea typeface="ADLaM Display" panose="02010000000000000000" pitchFamily="2" charset="0"/>
              <a:cs typeface="ADLaM Display" panose="02010000000000000000" pitchFamily="2" charset="0"/>
            </a:rPr>
            <a:t>         ₹ 4.54</a:t>
          </a:r>
          <a:r>
            <a:rPr lang="en-IN" sz="23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Cr</a:t>
          </a:r>
          <a:endParaRPr lang="en-IN" sz="23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oneCellAnchor>
    <xdr:from>
      <xdr:col>11</xdr:col>
      <xdr:colOff>714375</xdr:colOff>
      <xdr:row>6</xdr:row>
      <xdr:rowOff>95250</xdr:rowOff>
    </xdr:from>
    <xdr:ext cx="2428875" cy="862031"/>
    <xdr:sp macro="" textlink="">
      <xdr:nvSpPr>
        <xdr:cNvPr id="11" name="TextBox 10">
          <a:extLst>
            <a:ext uri="{FF2B5EF4-FFF2-40B4-BE49-F238E27FC236}">
              <a16:creationId xmlns:a16="http://schemas.microsoft.com/office/drawing/2014/main" id="{FCDCF45F-3CA8-EB11-9261-92AD29567D89}"/>
            </a:ext>
          </a:extLst>
        </xdr:cNvPr>
        <xdr:cNvSpPr txBox="1"/>
      </xdr:nvSpPr>
      <xdr:spPr>
        <a:xfrm>
          <a:off x="10668000" y="1238250"/>
          <a:ext cx="2428875" cy="862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300">
              <a:solidFill>
                <a:schemeClr val="bg1"/>
              </a:solidFill>
              <a:latin typeface="ADLaM Display" panose="02010000000000000000" pitchFamily="2" charset="0"/>
              <a:ea typeface="ADLaM Display" panose="02010000000000000000" pitchFamily="2" charset="0"/>
              <a:cs typeface="ADLaM Display" panose="02010000000000000000" pitchFamily="2" charset="0"/>
            </a:rPr>
            <a:t>PRICE</a:t>
          </a:r>
          <a:r>
            <a:rPr lang="en-IN" sz="23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SAVING</a:t>
          </a:r>
        </a:p>
        <a:p>
          <a:r>
            <a:rPr lang="en-IN" sz="2300">
              <a:solidFill>
                <a:schemeClr val="bg1"/>
              </a:solidFill>
              <a:latin typeface="ADLaM Display" panose="02010000000000000000" pitchFamily="2" charset="0"/>
              <a:ea typeface="ADLaM Display" panose="02010000000000000000" pitchFamily="2" charset="0"/>
              <a:cs typeface="ADLaM Display" panose="02010000000000000000" pitchFamily="2" charset="0"/>
            </a:rPr>
            <a:t>     ₹ 39.31</a:t>
          </a:r>
          <a:r>
            <a:rPr lang="en-IN" sz="23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L</a:t>
          </a:r>
          <a:endParaRPr lang="en-IN" sz="23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oneCellAnchor>
    <xdr:from>
      <xdr:col>16</xdr:col>
      <xdr:colOff>381001</xdr:colOff>
      <xdr:row>6</xdr:row>
      <xdr:rowOff>95249</xdr:rowOff>
    </xdr:from>
    <xdr:ext cx="3643312" cy="904875"/>
    <xdr:sp macro="" textlink="">
      <xdr:nvSpPr>
        <xdr:cNvPr id="12" name="TextBox 11">
          <a:extLst>
            <a:ext uri="{FF2B5EF4-FFF2-40B4-BE49-F238E27FC236}">
              <a16:creationId xmlns:a16="http://schemas.microsoft.com/office/drawing/2014/main" id="{04EFA7AC-6C86-31EB-5FD3-AD5C3E020279}"/>
            </a:ext>
          </a:extLst>
        </xdr:cNvPr>
        <xdr:cNvSpPr txBox="1"/>
      </xdr:nvSpPr>
      <xdr:spPr>
        <a:xfrm>
          <a:off x="14859001" y="1238249"/>
          <a:ext cx="3643312" cy="904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300">
              <a:solidFill>
                <a:schemeClr val="bg1"/>
              </a:solidFill>
              <a:latin typeface="ADLaM Display" panose="02010000000000000000" pitchFamily="2" charset="0"/>
              <a:ea typeface="ADLaM Display" panose="02010000000000000000" pitchFamily="2" charset="0"/>
              <a:cs typeface="ADLaM Display" panose="02010000000000000000" pitchFamily="2" charset="0"/>
            </a:rPr>
            <a:t>DELEVERED ORDERS</a:t>
          </a:r>
        </a:p>
        <a:p>
          <a:r>
            <a:rPr lang="en-IN" sz="2300">
              <a:solidFill>
                <a:schemeClr val="bg1"/>
              </a:solidFill>
              <a:latin typeface="ADLaM Display" panose="02010000000000000000" pitchFamily="2" charset="0"/>
              <a:ea typeface="ADLaM Display" panose="02010000000000000000" pitchFamily="2" charset="0"/>
              <a:cs typeface="ADLaM Display" panose="02010000000000000000" pitchFamily="2" charset="0"/>
            </a:rPr>
            <a:t>           72.1%</a:t>
          </a:r>
        </a:p>
      </xdr:txBody>
    </xdr:sp>
    <xdr:clientData/>
  </xdr:oneCellAnchor>
  <xdr:oneCellAnchor>
    <xdr:from>
      <xdr:col>21</xdr:col>
      <xdr:colOff>571499</xdr:colOff>
      <xdr:row>6</xdr:row>
      <xdr:rowOff>142873</xdr:rowOff>
    </xdr:from>
    <xdr:ext cx="2667000" cy="862031"/>
    <xdr:sp macro="" textlink="">
      <xdr:nvSpPr>
        <xdr:cNvPr id="13" name="TextBox 12">
          <a:extLst>
            <a:ext uri="{FF2B5EF4-FFF2-40B4-BE49-F238E27FC236}">
              <a16:creationId xmlns:a16="http://schemas.microsoft.com/office/drawing/2014/main" id="{F65B7391-6324-6106-A00B-FC28637F90BD}"/>
            </a:ext>
          </a:extLst>
        </xdr:cNvPr>
        <xdr:cNvSpPr txBox="1"/>
      </xdr:nvSpPr>
      <xdr:spPr>
        <a:xfrm>
          <a:off x="19573874" y="1285873"/>
          <a:ext cx="2667000" cy="862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300">
              <a:solidFill>
                <a:schemeClr val="bg1"/>
              </a:solidFill>
              <a:latin typeface="ADLaM Display" panose="02010000000000000000" pitchFamily="2" charset="0"/>
              <a:ea typeface="ADLaM Display" panose="02010000000000000000" pitchFamily="2" charset="0"/>
              <a:cs typeface="ADLaM Display" panose="02010000000000000000" pitchFamily="2" charset="0"/>
            </a:rPr>
            <a:t>ON</a:t>
          </a:r>
          <a:r>
            <a:rPr lang="en-IN" sz="23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TIME RATE</a:t>
          </a:r>
        </a:p>
        <a:p>
          <a:r>
            <a:rPr lang="en-IN" sz="23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48.7%</a:t>
          </a:r>
          <a:endParaRPr lang="en-IN" sz="23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oneCellAnchor>
    <xdr:from>
      <xdr:col>26</xdr:col>
      <xdr:colOff>452438</xdr:colOff>
      <xdr:row>6</xdr:row>
      <xdr:rowOff>119063</xdr:rowOff>
    </xdr:from>
    <xdr:ext cx="2928937" cy="862031"/>
    <xdr:sp macro="" textlink="">
      <xdr:nvSpPr>
        <xdr:cNvPr id="15" name="TextBox 14">
          <a:extLst>
            <a:ext uri="{FF2B5EF4-FFF2-40B4-BE49-F238E27FC236}">
              <a16:creationId xmlns:a16="http://schemas.microsoft.com/office/drawing/2014/main" id="{12E6C50D-738C-683D-7012-0E3FE797BC96}"/>
            </a:ext>
          </a:extLst>
        </xdr:cNvPr>
        <xdr:cNvSpPr txBox="1"/>
      </xdr:nvSpPr>
      <xdr:spPr>
        <a:xfrm>
          <a:off x="23979188" y="1262063"/>
          <a:ext cx="2928937" cy="862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300">
              <a:solidFill>
                <a:schemeClr val="bg1"/>
              </a:solidFill>
              <a:latin typeface="ADLaM Display" panose="02010000000000000000" pitchFamily="2" charset="0"/>
              <a:ea typeface="ADLaM Display" panose="02010000000000000000" pitchFamily="2" charset="0"/>
              <a:cs typeface="ADLaM Display" panose="02010000000000000000" pitchFamily="2" charset="0"/>
            </a:rPr>
            <a:t>COMPLIANCE RATE</a:t>
          </a:r>
        </a:p>
        <a:p>
          <a:r>
            <a:rPr lang="en-IN" sz="2300">
              <a:solidFill>
                <a:schemeClr val="bg1"/>
              </a:solidFill>
              <a:latin typeface="ADLaM Display" panose="02010000000000000000" pitchFamily="2" charset="0"/>
              <a:ea typeface="ADLaM Display" panose="02010000000000000000" pitchFamily="2" charset="0"/>
              <a:cs typeface="ADLaM Display" panose="02010000000000000000" pitchFamily="2" charset="0"/>
            </a:rPr>
            <a:t>            82.4%</a:t>
          </a:r>
        </a:p>
      </xdr:txBody>
    </xdr:sp>
    <xdr:clientData/>
  </xdr:oneCellAnchor>
  <xdr:twoCellAnchor>
    <xdr:from>
      <xdr:col>0</xdr:col>
      <xdr:colOff>785813</xdr:colOff>
      <xdr:row>14</xdr:row>
      <xdr:rowOff>39688</xdr:rowOff>
    </xdr:from>
    <xdr:to>
      <xdr:col>13</xdr:col>
      <xdr:colOff>23812</xdr:colOff>
      <xdr:row>49</xdr:row>
      <xdr:rowOff>55563</xdr:rowOff>
    </xdr:to>
    <xdr:graphicFrame macro="">
      <xdr:nvGraphicFramePr>
        <xdr:cNvPr id="8" name="Chart 7">
          <a:extLst>
            <a:ext uri="{FF2B5EF4-FFF2-40B4-BE49-F238E27FC236}">
              <a16:creationId xmlns:a16="http://schemas.microsoft.com/office/drawing/2014/main" id="{6576AB04-7399-4C45-875B-97B3D14F3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666750</xdr:colOff>
      <xdr:row>14</xdr:row>
      <xdr:rowOff>71437</xdr:rowOff>
    </xdr:from>
    <xdr:to>
      <xdr:col>22</xdr:col>
      <xdr:colOff>500062</xdr:colOff>
      <xdr:row>49</xdr:row>
      <xdr:rowOff>23813</xdr:rowOff>
    </xdr:to>
    <xdr:graphicFrame macro="">
      <xdr:nvGraphicFramePr>
        <xdr:cNvPr id="19" name="Annual Procurement Spend">
          <a:extLst>
            <a:ext uri="{FF2B5EF4-FFF2-40B4-BE49-F238E27FC236}">
              <a16:creationId xmlns:a16="http://schemas.microsoft.com/office/drawing/2014/main" id="{E30603F2-5B04-46EC-8A84-94604D4A8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762001</xdr:colOff>
      <xdr:row>52</xdr:row>
      <xdr:rowOff>0</xdr:rowOff>
    </xdr:from>
    <xdr:to>
      <xdr:col>13</xdr:col>
      <xdr:colOff>47626</xdr:colOff>
      <xdr:row>89</xdr:row>
      <xdr:rowOff>47626</xdr:rowOff>
    </xdr:to>
    <xdr:graphicFrame macro="">
      <xdr:nvGraphicFramePr>
        <xdr:cNvPr id="20" name="Chart 19">
          <a:extLst>
            <a:ext uri="{FF2B5EF4-FFF2-40B4-BE49-F238E27FC236}">
              <a16:creationId xmlns:a16="http://schemas.microsoft.com/office/drawing/2014/main" id="{29A53D23-E7F4-4420-A283-F5733B905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52</xdr:row>
      <xdr:rowOff>0</xdr:rowOff>
    </xdr:from>
    <xdr:to>
      <xdr:col>25</xdr:col>
      <xdr:colOff>214312</xdr:colOff>
      <xdr:row>89</xdr:row>
      <xdr:rowOff>0</xdr:rowOff>
    </xdr:to>
    <xdr:graphicFrame macro="">
      <xdr:nvGraphicFramePr>
        <xdr:cNvPr id="21" name="Chart 20">
          <a:extLst>
            <a:ext uri="{FF2B5EF4-FFF2-40B4-BE49-F238E27FC236}">
              <a16:creationId xmlns:a16="http://schemas.microsoft.com/office/drawing/2014/main" id="{E1BEFC43-1DA4-4082-AEB7-1CB819139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0</xdr:colOff>
      <xdr:row>52</xdr:row>
      <xdr:rowOff>1</xdr:rowOff>
    </xdr:from>
    <xdr:to>
      <xdr:col>35</xdr:col>
      <xdr:colOff>285750</xdr:colOff>
      <xdr:row>88</xdr:row>
      <xdr:rowOff>95251</xdr:rowOff>
    </xdr:to>
    <xdr:graphicFrame macro="">
      <xdr:nvGraphicFramePr>
        <xdr:cNvPr id="25" name="Chart 24">
          <a:extLst>
            <a:ext uri="{FF2B5EF4-FFF2-40B4-BE49-F238E27FC236}">
              <a16:creationId xmlns:a16="http://schemas.microsoft.com/office/drawing/2014/main" id="{956D72F8-0BAC-49D6-893D-7E9526484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0</xdr:colOff>
      <xdr:row>14</xdr:row>
      <xdr:rowOff>47625</xdr:rowOff>
    </xdr:from>
    <xdr:to>
      <xdr:col>32</xdr:col>
      <xdr:colOff>47625</xdr:colOff>
      <xdr:row>48</xdr:row>
      <xdr:rowOff>142874</xdr:rowOff>
    </xdr:to>
    <xdr:graphicFrame macro="">
      <xdr:nvGraphicFramePr>
        <xdr:cNvPr id="26" name="Chart 25">
          <a:extLst>
            <a:ext uri="{FF2B5EF4-FFF2-40B4-BE49-F238E27FC236}">
              <a16:creationId xmlns:a16="http://schemas.microsoft.com/office/drawing/2014/main" id="{BEFD7585-BE5E-4A99-BF46-30F7D92D4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628650</xdr:colOff>
      <xdr:row>37</xdr:row>
      <xdr:rowOff>114300</xdr:rowOff>
    </xdr:from>
    <xdr:to>
      <xdr:col>38</xdr:col>
      <xdr:colOff>438150</xdr:colOff>
      <xdr:row>45</xdr:row>
      <xdr:rowOff>0</xdr:rowOff>
    </xdr:to>
    <mc:AlternateContent xmlns:mc="http://schemas.openxmlformats.org/markup-compatibility/2006">
      <mc:Choice xmlns:tsle="http://schemas.microsoft.com/office/drawing/2012/timeslicer" Requires="tsle">
        <xdr:graphicFrame macro="">
          <xdr:nvGraphicFramePr>
            <xdr:cNvPr id="27" name="Order_Date">
              <a:extLst>
                <a:ext uri="{FF2B5EF4-FFF2-40B4-BE49-F238E27FC236}">
                  <a16:creationId xmlns:a16="http://schemas.microsoft.com/office/drawing/2014/main" id="{6C3D98E2-B53E-4A6C-A038-8E94C504C4E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35966400" y="7162800"/>
              <a:ext cx="5238750" cy="1409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37</xdr:col>
      <xdr:colOff>419100</xdr:colOff>
      <xdr:row>14</xdr:row>
      <xdr:rowOff>38100</xdr:rowOff>
    </xdr:from>
    <xdr:to>
      <xdr:col>40</xdr:col>
      <xdr:colOff>375900</xdr:colOff>
      <xdr:row>35</xdr:row>
      <xdr:rowOff>116586</xdr:rowOff>
    </xdr:to>
    <mc:AlternateContent xmlns:mc="http://schemas.openxmlformats.org/markup-compatibility/2006">
      <mc:Choice xmlns:a14="http://schemas.microsoft.com/office/drawing/2010/main" Requires="a14">
        <xdr:graphicFrame macro="">
          <xdr:nvGraphicFramePr>
            <xdr:cNvPr id="28" name="Order_Status">
              <a:extLst>
                <a:ext uri="{FF2B5EF4-FFF2-40B4-BE49-F238E27FC236}">
                  <a16:creationId xmlns:a16="http://schemas.microsoft.com/office/drawing/2014/main" id="{1F3230D7-B0DC-4EE1-923E-6661C8EECDC2}"/>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40281225" y="2705100"/>
              <a:ext cx="2671425" cy="4078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0</xdr:colOff>
      <xdr:row>14</xdr:row>
      <xdr:rowOff>0</xdr:rowOff>
    </xdr:from>
    <xdr:to>
      <xdr:col>43</xdr:col>
      <xdr:colOff>723900</xdr:colOff>
      <xdr:row>36</xdr:row>
      <xdr:rowOff>76200</xdr:rowOff>
    </xdr:to>
    <mc:AlternateContent xmlns:mc="http://schemas.openxmlformats.org/markup-compatibility/2006">
      <mc:Choice xmlns:a14="http://schemas.microsoft.com/office/drawing/2010/main" Requires="a14">
        <xdr:graphicFrame macro="">
          <xdr:nvGraphicFramePr>
            <xdr:cNvPr id="29" name="Item_Category">
              <a:extLst>
                <a:ext uri="{FF2B5EF4-FFF2-40B4-BE49-F238E27FC236}">
                  <a16:creationId xmlns:a16="http://schemas.microsoft.com/office/drawing/2014/main" id="{E2E08122-EBF1-4903-A050-ED6347306A63}"/>
                </a:ext>
              </a:extLst>
            </xdr:cNvPr>
            <xdr:cNvGraphicFramePr/>
          </xdr:nvGraphicFramePr>
          <xdr:xfrm>
            <a:off x="0" y="0"/>
            <a:ext cx="0" cy="0"/>
          </xdr:xfrm>
          <a:graphic>
            <a:graphicData uri="http://schemas.microsoft.com/office/drawing/2010/slicer">
              <sle:slicer xmlns:sle="http://schemas.microsoft.com/office/drawing/2010/slicer" name="Item_Category"/>
            </a:graphicData>
          </a:graphic>
        </xdr:graphicFrame>
      </mc:Choice>
      <mc:Fallback>
        <xdr:sp macro="" textlink="">
          <xdr:nvSpPr>
            <xdr:cNvPr id="0" name=""/>
            <xdr:cNvSpPr>
              <a:spLocks noTextEdit="1"/>
            </xdr:cNvSpPr>
          </xdr:nvSpPr>
          <xdr:spPr>
            <a:xfrm>
              <a:off x="43481625" y="2667000"/>
              <a:ext cx="2533650" cy="426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0.29452</cdr:x>
      <cdr:y>0</cdr:y>
    </cdr:from>
    <cdr:to>
      <cdr:x>0.6661</cdr:x>
      <cdr:y>0.05986</cdr:y>
    </cdr:to>
    <cdr:sp macro="" textlink="">
      <cdr:nvSpPr>
        <cdr:cNvPr id="2" name="TextBox 1">
          <a:extLst xmlns:a="http://schemas.openxmlformats.org/drawingml/2006/main">
            <a:ext uri="{FF2B5EF4-FFF2-40B4-BE49-F238E27FC236}">
              <a16:creationId xmlns:a16="http://schemas.microsoft.com/office/drawing/2014/main" id="{43093A97-7B4E-4FD8-159A-C1960EAE5D0D}"/>
            </a:ext>
          </a:extLst>
        </cdr:cNvPr>
        <cdr:cNvSpPr txBox="1"/>
      </cdr:nvSpPr>
      <cdr:spPr>
        <a:xfrm xmlns:a="http://schemas.openxmlformats.org/drawingml/2006/main">
          <a:off x="3276599" y="0"/>
          <a:ext cx="4133850" cy="4000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600" kern="1200">
              <a:latin typeface="ADLaM Display" panose="02010000000000000000" pitchFamily="2" charset="0"/>
              <a:ea typeface="ADLaM Display" panose="02010000000000000000" pitchFamily="2" charset="0"/>
              <a:cs typeface="ADLaM Display" panose="02010000000000000000" pitchFamily="2" charset="0"/>
            </a:rPr>
            <a:t>MONTLY</a:t>
          </a:r>
          <a:r>
            <a:rPr lang="en-IN" sz="1600" kern="1200" baseline="0">
              <a:latin typeface="ADLaM Display" panose="02010000000000000000" pitchFamily="2" charset="0"/>
              <a:ea typeface="ADLaM Display" panose="02010000000000000000" pitchFamily="2" charset="0"/>
              <a:cs typeface="ADLaM Display" panose="02010000000000000000" pitchFamily="2" charset="0"/>
            </a:rPr>
            <a:t> PROCUREMENT VALUE TREND</a:t>
          </a:r>
          <a:endParaRPr lang="en-IN" sz="1600" kern="1200">
            <a:latin typeface="ADLaM Display" panose="02010000000000000000" pitchFamily="2" charset="0"/>
            <a:ea typeface="ADLaM Display" panose="02010000000000000000" pitchFamily="2" charset="0"/>
            <a:cs typeface="ADLaM Display" panose="02010000000000000000" pitchFamily="2"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0.8</cdr:x>
      <cdr:y>0.09912</cdr:y>
    </cdr:from>
    <cdr:to>
      <cdr:x>1</cdr:x>
      <cdr:y>0.15909</cdr:y>
    </cdr:to>
    <cdr:sp macro="" textlink="">
      <cdr:nvSpPr>
        <cdr:cNvPr id="2" name="TextBox 1">
          <a:extLst xmlns:a="http://schemas.openxmlformats.org/drawingml/2006/main">
            <a:ext uri="{FF2B5EF4-FFF2-40B4-BE49-F238E27FC236}">
              <a16:creationId xmlns:a16="http://schemas.microsoft.com/office/drawing/2014/main" id="{B407CD83-CA8E-75B1-AD2A-3ABAAF75CDED}"/>
            </a:ext>
          </a:extLst>
        </cdr:cNvPr>
        <cdr:cNvSpPr txBox="1"/>
      </cdr:nvSpPr>
      <cdr:spPr>
        <a:xfrm xmlns:a="http://schemas.openxmlformats.org/drawingml/2006/main">
          <a:off x="3657600" y="271895"/>
          <a:ext cx="914400" cy="1645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0.21253</cdr:x>
      <cdr:y>0</cdr:y>
    </cdr:from>
    <cdr:to>
      <cdr:x>0.65571</cdr:x>
      <cdr:y>0.10733</cdr:y>
    </cdr:to>
    <cdr:sp macro="" textlink="">
      <cdr:nvSpPr>
        <cdr:cNvPr id="3" name="TextBox 2">
          <a:extLst xmlns:a="http://schemas.openxmlformats.org/drawingml/2006/main">
            <a:ext uri="{FF2B5EF4-FFF2-40B4-BE49-F238E27FC236}">
              <a16:creationId xmlns:a16="http://schemas.microsoft.com/office/drawing/2014/main" id="{2DF6F49D-30D5-4D20-F829-AF033669A8F8}"/>
            </a:ext>
          </a:extLst>
        </cdr:cNvPr>
        <cdr:cNvSpPr txBox="1"/>
      </cdr:nvSpPr>
      <cdr:spPr>
        <a:xfrm xmlns:a="http://schemas.openxmlformats.org/drawingml/2006/main">
          <a:off x="2338097" y="0"/>
          <a:ext cx="4875589" cy="79740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3200" b="1"/>
            <a:t>Procurement Spend by Category</a:t>
          </a:r>
          <a:endParaRPr lang="en-IN" sz="3200"/>
        </a:p>
        <a:p xmlns:a="http://schemas.openxmlformats.org/drawingml/2006/main">
          <a:endParaRPr lang="en-IN" sz="3200" kern="1200"/>
        </a:p>
      </cdr:txBody>
    </cdr:sp>
  </cdr:relSizeAnchor>
  <cdr:relSizeAnchor xmlns:cdr="http://schemas.openxmlformats.org/drawingml/2006/chartDrawing">
    <cdr:from>
      <cdr:x>0.36746</cdr:x>
      <cdr:y>0.45393</cdr:y>
    </cdr:from>
    <cdr:to>
      <cdr:x>0.51329</cdr:x>
      <cdr:y>0.54231</cdr:y>
    </cdr:to>
    <cdr:sp macro="" textlink="">
      <cdr:nvSpPr>
        <cdr:cNvPr id="4" name="TextBox 3">
          <a:extLst xmlns:a="http://schemas.openxmlformats.org/drawingml/2006/main">
            <a:ext uri="{FF2B5EF4-FFF2-40B4-BE49-F238E27FC236}">
              <a16:creationId xmlns:a16="http://schemas.microsoft.com/office/drawing/2014/main" id="{3CAB4DFF-2057-B55B-F77B-998ABA3AF03F}"/>
            </a:ext>
          </a:extLst>
        </cdr:cNvPr>
        <cdr:cNvSpPr txBox="1"/>
      </cdr:nvSpPr>
      <cdr:spPr>
        <a:xfrm xmlns:a="http://schemas.openxmlformats.org/drawingml/2006/main">
          <a:off x="6434251" y="3221174"/>
          <a:ext cx="2553500" cy="627155"/>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marL="0" marR="0" lvl="0" indent="0" algn="l" defTabSz="914400" eaLnBrk="1" fontAlgn="auto" latinLnBrk="0" hangingPunct="1">
            <a:lnSpc>
              <a:spcPct val="100000"/>
            </a:lnSpc>
            <a:spcBef>
              <a:spcPts val="0"/>
            </a:spcBef>
            <a:spcAft>
              <a:spcPts val="0"/>
            </a:spcAft>
            <a:buClrTx/>
            <a:buSzTx/>
            <a:buFontTx/>
            <a:buNone/>
            <a:tabLst/>
            <a:defRPr/>
          </a:pPr>
          <a:r>
            <a:rPr lang="en-IN" sz="3200" b="1"/>
            <a:t>₹4.54 Cr</a:t>
          </a:r>
          <a:endParaRPr lang="en-IN" sz="3200"/>
        </a:p>
        <a:p xmlns:a="http://schemas.openxmlformats.org/drawingml/2006/main">
          <a:endParaRPr lang="en-IN" sz="1100" kern="1200"/>
        </a:p>
      </cdr:txBody>
    </cdr:sp>
  </cdr:relSizeAnchor>
  <cdr:relSizeAnchor xmlns:cdr="http://schemas.openxmlformats.org/drawingml/2006/chartDrawing">
    <cdr:from>
      <cdr:x>0.35767</cdr:x>
      <cdr:y>0.53282</cdr:y>
    </cdr:from>
    <cdr:to>
      <cdr:x>0.55767</cdr:x>
      <cdr:y>0.63383</cdr:y>
    </cdr:to>
    <cdr:sp macro="" textlink="">
      <cdr:nvSpPr>
        <cdr:cNvPr id="5" name="TextBox 4">
          <a:extLst xmlns:a="http://schemas.openxmlformats.org/drawingml/2006/main">
            <a:ext uri="{FF2B5EF4-FFF2-40B4-BE49-F238E27FC236}">
              <a16:creationId xmlns:a16="http://schemas.microsoft.com/office/drawing/2014/main" id="{583EF851-656B-99CF-0CE5-E2483C4C98C3}"/>
            </a:ext>
          </a:extLst>
        </cdr:cNvPr>
        <cdr:cNvSpPr txBox="1"/>
      </cdr:nvSpPr>
      <cdr:spPr>
        <a:xfrm xmlns:a="http://schemas.openxmlformats.org/drawingml/2006/main">
          <a:off x="6262877" y="3780946"/>
          <a:ext cx="3502025" cy="7167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3200">
              <a:effectLst/>
              <a:latin typeface="+mn-lt"/>
              <a:ea typeface="+mn-ea"/>
              <a:cs typeface="+mn-cs"/>
            </a:rPr>
            <a:t>Order</a:t>
          </a:r>
          <a:r>
            <a:rPr lang="en-IN" sz="1100">
              <a:effectLst/>
              <a:latin typeface="+mn-lt"/>
              <a:ea typeface="+mn-ea"/>
              <a:cs typeface="+mn-cs"/>
            </a:rPr>
            <a:t> </a:t>
          </a:r>
          <a:r>
            <a:rPr lang="en-IN" sz="3200">
              <a:effectLst/>
              <a:latin typeface="+mn-lt"/>
              <a:ea typeface="+mn-ea"/>
              <a:cs typeface="+mn-cs"/>
            </a:rPr>
            <a:t>Value</a:t>
          </a:r>
          <a:endParaRPr lang="en-IN" sz="3200">
            <a:effectLst/>
          </a:endParaRPr>
        </a:p>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y chauhan" refreshedDate="46303.721936574075" createdVersion="8" refreshedVersion="8" minRefreshableVersion="3" recordCount="777" xr:uid="{B8F64702-4C95-4374-B243-CBA12F458E0A}">
  <cacheSource type="worksheet">
    <worksheetSource name="Table1"/>
  </cacheSource>
  <cacheFields count="21">
    <cacheField name="PO_ID" numFmtId="0">
      <sharedItems/>
    </cacheField>
    <cacheField name="Supplier" numFmtId="0">
      <sharedItems count="5">
        <s v="Alpha_Inc"/>
        <s v="Delta_Logistics"/>
        <s v="Gamma_Co"/>
        <s v="Beta_Supplies"/>
        <s v="Epsilon_Group"/>
      </sharedItems>
    </cacheField>
    <cacheField name="Order_Date" numFmtId="14">
      <sharedItems containsSemiMixedTypes="0" containsNonDate="0" containsDate="1" containsString="0" minDate="2022-01-01T00:00:00" maxDate="2024-01-02T00:00:00" count="475">
        <d v="2023-10-17T00:00:00"/>
        <d v="2022-04-25T00:00:00"/>
        <d v="2022-01-26T00:00:00"/>
        <d v="2022-10-09T00:00:00"/>
        <d v="2022-09-08T00:00:00"/>
        <d v="2022-08-17T00:00:00"/>
        <d v="2022-05-23T00:00:00"/>
        <d v="2022-04-15T00:00:00"/>
        <d v="2023-11-24T00:00:00"/>
        <d v="2023-07-13T00:00:00"/>
        <d v="2022-03-31T00:00:00"/>
        <d v="2023-08-28T00:00:00"/>
        <d v="2023-03-09T00:00:00"/>
        <d v="2022-02-02T00:00:00"/>
        <d v="2022-01-31T00:00:00"/>
        <d v="2022-04-06T00:00:00"/>
        <d v="2022-08-12T00:00:00"/>
        <d v="2022-08-27T00:00:00"/>
        <d v="2023-06-02T00:00:00"/>
        <d v="2023-09-09T00:00:00"/>
        <d v="2022-01-28T00:00:00"/>
        <d v="2023-07-29T00:00:00"/>
        <d v="2022-07-23T00:00:00"/>
        <d v="2023-10-28T00:00:00"/>
        <d v="2023-12-20T00:00:00"/>
        <d v="2023-03-06T00:00:00"/>
        <d v="2022-08-14T00:00:00"/>
        <d v="2023-04-05T00:00:00"/>
        <d v="2023-08-27T00:00:00"/>
        <d v="2022-10-12T00:00:00"/>
        <d v="2022-01-07T00:00:00"/>
        <d v="2022-06-13T00:00:00"/>
        <d v="2023-12-16T00:00:00"/>
        <d v="2022-12-15T00:00:00"/>
        <d v="2022-06-09T00:00:00"/>
        <d v="2022-08-09T00:00:00"/>
        <d v="2022-12-11T00:00:00"/>
        <d v="2022-04-05T00:00:00"/>
        <d v="2023-01-25T00:00:00"/>
        <d v="2022-04-10T00:00:00"/>
        <d v="2023-01-03T00:00:00"/>
        <d v="2022-12-19T00:00:00"/>
        <d v="2023-09-11T00:00:00"/>
        <d v="2022-09-28T00:00:00"/>
        <d v="2022-02-14T00:00:00"/>
        <d v="2023-04-16T00:00:00"/>
        <d v="2023-07-04T00:00:00"/>
        <d v="2022-05-08T00:00:00"/>
        <d v="2023-01-23T00:00:00"/>
        <d v="2022-03-22T00:00:00"/>
        <d v="2023-07-20T00:00:00"/>
        <d v="2022-10-28T00:00:00"/>
        <d v="2023-10-06T00:00:00"/>
        <d v="2023-09-26T00:00:00"/>
        <d v="2023-01-06T00:00:00"/>
        <d v="2023-08-15T00:00:00"/>
        <d v="2022-07-16T00:00:00"/>
        <d v="2023-12-23T00:00:00"/>
        <d v="2022-03-13T00:00:00"/>
        <d v="2022-02-16T00:00:00"/>
        <d v="2023-11-09T00:00:00"/>
        <d v="2022-08-22T00:00:00"/>
        <d v="2022-10-24T00:00:00"/>
        <d v="2022-03-23T00:00:00"/>
        <d v="2022-04-14T00:00:00"/>
        <d v="2023-04-10T00:00:00"/>
        <d v="2023-10-13T00:00:00"/>
        <d v="2023-01-09T00:00:00"/>
        <d v="2022-06-16T00:00:00"/>
        <d v="2023-01-15T00:00:00"/>
        <d v="2022-12-30T00:00:00"/>
        <d v="2022-08-03T00:00:00"/>
        <d v="2023-11-18T00:00:00"/>
        <d v="2022-10-01T00:00:00"/>
        <d v="2023-12-01T00:00:00"/>
        <d v="2023-10-26T00:00:00"/>
        <d v="2022-03-15T00:00:00"/>
        <d v="2023-09-16T00:00:00"/>
        <d v="2022-06-25T00:00:00"/>
        <d v="2023-07-01T00:00:00"/>
        <d v="2022-06-17T00:00:00"/>
        <d v="2023-04-19T00:00:00"/>
        <d v="2023-01-24T00:00:00"/>
        <d v="2022-10-04T00:00:00"/>
        <d v="2023-10-18T00:00:00"/>
        <d v="2023-12-06T00:00:00"/>
        <d v="2023-07-25T00:00:00"/>
        <d v="2022-08-13T00:00:00"/>
        <d v="2023-12-03T00:00:00"/>
        <d v="2022-11-29T00:00:00"/>
        <d v="2022-02-22T00:00:00"/>
        <d v="2022-08-23T00:00:00"/>
        <d v="2022-11-20T00:00:00"/>
        <d v="2023-02-15T00:00:00"/>
        <d v="2022-10-02T00:00:00"/>
        <d v="2022-03-09T00:00:00"/>
        <d v="2022-08-05T00:00:00"/>
        <d v="2023-08-04T00:00:00"/>
        <d v="2022-11-19T00:00:00"/>
        <d v="2022-08-06T00:00:00"/>
        <d v="2023-11-03T00:00:00"/>
        <d v="2023-05-27T00:00:00"/>
        <d v="2023-02-10T00:00:00"/>
        <d v="2023-10-21T00:00:00"/>
        <d v="2023-04-15T00:00:00"/>
        <d v="2022-05-27T00:00:00"/>
        <d v="2022-09-29T00:00:00"/>
        <d v="2022-09-10T00:00:00"/>
        <d v="2023-07-06T00:00:00"/>
        <d v="2022-09-27T00:00:00"/>
        <d v="2023-08-22T00:00:00"/>
        <d v="2023-03-15T00:00:00"/>
        <d v="2023-08-21T00:00:00"/>
        <d v="2023-02-13T00:00:00"/>
        <d v="2022-05-22T00:00:00"/>
        <d v="2023-06-06T00:00:00"/>
        <d v="2023-05-21T00:00:00"/>
        <d v="2022-04-04T00:00:00"/>
        <d v="2022-02-18T00:00:00"/>
        <d v="2022-04-23T00:00:00"/>
        <d v="2022-06-06T00:00:00"/>
        <d v="2023-10-05T00:00:00"/>
        <d v="2023-11-28T00:00:00"/>
        <d v="2023-09-03T00:00:00"/>
        <d v="2022-03-07T00:00:00"/>
        <d v="2023-01-30T00:00:00"/>
        <d v="2023-01-26T00:00:00"/>
        <d v="2023-04-25T00:00:00"/>
        <d v="2023-06-26T00:00:00"/>
        <d v="2022-09-15T00:00:00"/>
        <d v="2023-07-21T00:00:00"/>
        <d v="2022-01-12T00:00:00"/>
        <d v="2022-04-28T00:00:00"/>
        <d v="2023-11-30T00:00:00"/>
        <d v="2023-10-19T00:00:00"/>
        <d v="2023-03-22T00:00:00"/>
        <d v="2022-06-11T00:00:00"/>
        <d v="2022-01-04T00:00:00"/>
        <d v="2023-05-28T00:00:00"/>
        <d v="2022-07-02T00:00:00"/>
        <d v="2023-06-04T00:00:00"/>
        <d v="2022-04-19T00:00:00"/>
        <d v="2023-10-03T00:00:00"/>
        <d v="2022-11-02T00:00:00"/>
        <d v="2023-01-18T00:00:00"/>
        <d v="2022-06-15T00:00:00"/>
        <d v="2023-07-07T00:00:00"/>
        <d v="2023-06-28T00:00:00"/>
        <d v="2022-01-01T00:00:00"/>
        <d v="2023-09-06T00:00:00"/>
        <d v="2022-11-28T00:00:00"/>
        <d v="2023-05-16T00:00:00"/>
        <d v="2022-01-20T00:00:00"/>
        <d v="2023-01-07T00:00:00"/>
        <d v="2022-11-11T00:00:00"/>
        <d v="2022-09-03T00:00:00"/>
        <d v="2022-03-01T00:00:00"/>
        <d v="2022-09-04T00:00:00"/>
        <d v="2022-03-29T00:00:00"/>
        <d v="2023-05-13T00:00:00"/>
        <d v="2022-03-12T00:00:00"/>
        <d v="2023-06-30T00:00:00"/>
        <d v="2022-05-09T00:00:00"/>
        <d v="2022-05-12T00:00:00"/>
        <d v="2023-11-07T00:00:00"/>
        <d v="2023-05-02T00:00:00"/>
        <d v="2023-07-17T00:00:00"/>
        <d v="2022-06-19T00:00:00"/>
        <d v="2023-06-25T00:00:00"/>
        <d v="2023-09-14T00:00:00"/>
        <d v="2023-03-10T00:00:00"/>
        <d v="2023-12-08T00:00:00"/>
        <d v="2022-07-25T00:00:00"/>
        <d v="2024-01-01T00:00:00"/>
        <d v="2022-11-16T00:00:00"/>
        <d v="2023-11-19T00:00:00"/>
        <d v="2023-03-25T00:00:00"/>
        <d v="2023-06-14T00:00:00"/>
        <d v="2023-04-08T00:00:00"/>
        <d v="2022-05-04T00:00:00"/>
        <d v="2022-09-11T00:00:00"/>
        <d v="2022-08-19T00:00:00"/>
        <d v="2022-12-13T00:00:00"/>
        <d v="2022-01-22T00:00:00"/>
        <d v="2023-08-26T00:00:00"/>
        <d v="2023-07-22T00:00:00"/>
        <d v="2022-08-24T00:00:00"/>
        <d v="2022-01-08T00:00:00"/>
        <d v="2022-03-14T00:00:00"/>
        <d v="2023-12-26T00:00:00"/>
        <d v="2023-10-09T00:00:00"/>
        <d v="2022-03-02T00:00:00"/>
        <d v="2022-03-11T00:00:00"/>
        <d v="2022-12-05T00:00:00"/>
        <d v="2023-06-11T00:00:00"/>
        <d v="2022-09-01T00:00:00"/>
        <d v="2022-10-13T00:00:00"/>
        <d v="2023-11-17T00:00:00"/>
        <d v="2022-08-08T00:00:00"/>
        <d v="2022-05-16T00:00:00"/>
        <d v="2023-08-08T00:00:00"/>
        <d v="2023-08-14T00:00:00"/>
        <d v="2023-04-30T00:00:00"/>
        <d v="2022-09-06T00:00:00"/>
        <d v="2023-02-21T00:00:00"/>
        <d v="2022-07-14T00:00:00"/>
        <d v="2022-04-07T00:00:00"/>
        <d v="2023-11-06T00:00:00"/>
        <d v="2023-03-18T00:00:00"/>
        <d v="2022-12-29T00:00:00"/>
        <d v="2023-02-25T00:00:00"/>
        <d v="2023-04-24T00:00:00"/>
        <d v="2022-02-25T00:00:00"/>
        <d v="2023-11-21T00:00:00"/>
        <d v="2023-11-01T00:00:00"/>
        <d v="2023-10-24T00:00:00"/>
        <d v="2022-04-11T00:00:00"/>
        <d v="2022-03-04T00:00:00"/>
        <d v="2023-02-17T00:00:00"/>
        <d v="2022-12-14T00:00:00"/>
        <d v="2022-04-22T00:00:00"/>
        <d v="2022-09-12T00:00:00"/>
        <d v="2022-05-24T00:00:00"/>
        <d v="2022-07-07T00:00:00"/>
        <d v="2022-09-13T00:00:00"/>
        <d v="2022-03-19T00:00:00"/>
        <d v="2023-03-30T00:00:00"/>
        <d v="2023-07-18T00:00:00"/>
        <d v="2022-02-21T00:00:00"/>
        <d v="2023-10-30T00:00:00"/>
        <d v="2023-07-08T00:00:00"/>
        <d v="2022-01-16T00:00:00"/>
        <d v="2022-08-31T00:00:00"/>
        <d v="2022-06-20T00:00:00"/>
        <d v="2023-05-08T00:00:00"/>
        <d v="2022-08-07T00:00:00"/>
        <d v="2022-06-18T00:00:00"/>
        <d v="2022-01-03T00:00:00"/>
        <d v="2023-02-04T00:00:00"/>
        <d v="2023-04-11T00:00:00"/>
        <d v="2022-10-20T00:00:00"/>
        <d v="2023-12-15T00:00:00"/>
        <d v="2023-07-24T00:00:00"/>
        <d v="2023-05-14T00:00:00"/>
        <d v="2022-06-08T00:00:00"/>
        <d v="2022-10-31T00:00:00"/>
        <d v="2022-08-11T00:00:00"/>
        <d v="2023-08-17T00:00:00"/>
        <d v="2023-07-10T00:00:00"/>
        <d v="2022-11-18T00:00:00"/>
        <d v="2022-02-28T00:00:00"/>
        <d v="2023-05-04T00:00:00"/>
        <d v="2023-05-30T00:00:00"/>
        <d v="2023-06-05T00:00:00"/>
        <d v="2022-03-24T00:00:00"/>
        <d v="2022-07-10T00:00:00"/>
        <d v="2023-09-02T00:00:00"/>
        <d v="2023-11-23T00:00:00"/>
        <d v="2022-08-29T00:00:00"/>
        <d v="2023-02-18T00:00:00"/>
        <d v="2022-05-03T00:00:00"/>
        <d v="2023-08-07T00:00:00"/>
        <d v="2023-08-16T00:00:00"/>
        <d v="2023-09-01T00:00:00"/>
        <d v="2022-02-10T00:00:00"/>
        <d v="2023-09-27T00:00:00"/>
        <d v="2022-03-25T00:00:00"/>
        <d v="2023-11-05T00:00:00"/>
        <d v="2023-08-02T00:00:00"/>
        <d v="2023-06-20T00:00:00"/>
        <d v="2022-09-25T00:00:00"/>
        <d v="2022-07-29T00:00:00"/>
        <d v="2022-09-02T00:00:00"/>
        <d v="2022-05-15T00:00:00"/>
        <d v="2023-10-23T00:00:00"/>
        <d v="2022-11-04T00:00:00"/>
        <d v="2023-04-14T00:00:00"/>
        <d v="2022-03-16T00:00:00"/>
        <d v="2022-01-10T00:00:00"/>
        <d v="2023-09-29T00:00:00"/>
        <d v="2023-07-31T00:00:00"/>
        <d v="2022-04-13T00:00:00"/>
        <d v="2022-03-17T00:00:00"/>
        <d v="2023-07-05T00:00:00"/>
        <d v="2023-06-03T00:00:00"/>
        <d v="2022-12-24T00:00:00"/>
        <d v="2023-01-14T00:00:00"/>
        <d v="2022-10-19T00:00:00"/>
        <d v="2023-07-11T00:00:00"/>
        <d v="2023-12-22T00:00:00"/>
        <d v="2022-11-06T00:00:00"/>
        <d v="2023-09-19T00:00:00"/>
        <d v="2022-01-09T00:00:00"/>
        <d v="2023-11-15T00:00:00"/>
        <d v="2022-11-03T00:00:00"/>
        <d v="2023-11-11T00:00:00"/>
        <d v="2022-04-17T00:00:00"/>
        <d v="2022-05-18T00:00:00"/>
        <d v="2022-04-29T00:00:00"/>
        <d v="2022-04-20T00:00:00"/>
        <d v="2022-10-06T00:00:00"/>
        <d v="2022-10-16T00:00:00"/>
        <d v="2023-09-12T00:00:00"/>
        <d v="2022-08-04T00:00:00"/>
        <d v="2022-12-18T00:00:00"/>
        <d v="2022-07-28T00:00:00"/>
        <d v="2023-12-05T00:00:00"/>
        <d v="2023-10-12T00:00:00"/>
        <d v="2022-10-11T00:00:00"/>
        <d v="2022-02-15T00:00:00"/>
        <d v="2022-12-08T00:00:00"/>
        <d v="2022-05-14T00:00:00"/>
        <d v="2023-10-15T00:00:00"/>
        <d v="2022-09-26T00:00:00"/>
        <d v="2023-03-29T00:00:00"/>
        <d v="2023-07-19T00:00:00"/>
        <d v="2023-12-24T00:00:00"/>
        <d v="2023-03-14T00:00:00"/>
        <d v="2023-12-09T00:00:00"/>
        <d v="2022-06-02T00:00:00"/>
        <d v="2022-02-06T00:00:00"/>
        <d v="2023-08-20T00:00:00"/>
        <d v="2022-06-01T00:00:00"/>
        <d v="2023-03-17T00:00:00"/>
        <d v="2022-05-11T00:00:00"/>
        <d v="2022-02-12T00:00:00"/>
        <d v="2022-11-12T00:00:00"/>
        <d v="2023-01-02T00:00:00"/>
        <d v="2023-11-14T00:00:00"/>
        <d v="2022-04-16T00:00:00"/>
        <d v="2023-07-28T00:00:00"/>
        <d v="2023-09-28T00:00:00"/>
        <d v="2022-07-01T00:00:00"/>
        <d v="2023-02-27T00:00:00"/>
        <d v="2022-07-03T00:00:00"/>
        <d v="2022-12-07T00:00:00"/>
        <d v="2023-02-26T00:00:00"/>
        <d v="2022-04-21T00:00:00"/>
        <d v="2023-01-27T00:00:00"/>
        <d v="2022-02-09T00:00:00"/>
        <d v="2023-04-27T00:00:00"/>
        <d v="2022-08-16T00:00:00"/>
        <d v="2022-07-24T00:00:00"/>
        <d v="2023-04-17T00:00:00"/>
        <d v="2022-12-25T00:00:00"/>
        <d v="2022-11-09T00:00:00"/>
        <d v="2022-01-25T00:00:00"/>
        <d v="2022-07-17T00:00:00"/>
        <d v="2022-12-03T00:00:00"/>
        <d v="2022-12-26T00:00:00"/>
        <d v="2023-02-14T00:00:00"/>
        <d v="2023-11-27T00:00:00"/>
        <d v="2022-12-06T00:00:00"/>
        <d v="2022-01-29T00:00:00"/>
        <d v="2023-08-18T00:00:00"/>
        <d v="2023-03-21T00:00:00"/>
        <d v="2022-12-20T00:00:00"/>
        <d v="2023-03-23T00:00:00"/>
        <d v="2023-09-13T00:00:00"/>
        <d v="2023-06-08T00:00:00"/>
        <d v="2022-09-18T00:00:00"/>
        <d v="2023-12-27T00:00:00"/>
        <d v="2022-01-02T00:00:00"/>
        <d v="2023-06-17T00:00:00"/>
        <d v="2022-07-21T00:00:00"/>
        <d v="2023-01-08T00:00:00"/>
        <d v="2023-11-12T00:00:00"/>
        <d v="2023-10-01T00:00:00"/>
        <d v="2022-11-13T00:00:00"/>
        <d v="2023-02-23T00:00:00"/>
        <d v="2022-12-01T00:00:00"/>
        <d v="2022-10-30T00:00:00"/>
        <d v="2023-03-07T00:00:00"/>
        <d v="2023-11-25T00:00:00"/>
        <d v="2022-06-28T00:00:00"/>
        <d v="2023-09-23T00:00:00"/>
        <d v="2023-08-06T00:00:00"/>
        <d v="2022-11-05T00:00:00"/>
        <d v="2023-02-20T00:00:00"/>
        <d v="2023-07-16T00:00:00"/>
        <d v="2022-11-08T00:00:00"/>
        <d v="2022-10-21T00:00:00"/>
        <d v="2023-11-02T00:00:00"/>
        <d v="2022-11-26T00:00:00"/>
        <d v="2023-04-22T00:00:00"/>
        <d v="2022-06-23T00:00:00"/>
        <d v="2022-03-28T00:00:00"/>
        <d v="2022-10-18T00:00:00"/>
        <d v="2023-06-12T00:00:00"/>
        <d v="2023-10-11T00:00:00"/>
        <d v="2022-12-10T00:00:00"/>
        <d v="2023-11-20T00:00:00"/>
        <d v="2022-11-14T00:00:00"/>
        <d v="2022-05-31T00:00:00"/>
        <d v="2022-02-17T00:00:00"/>
        <d v="2023-09-18T00:00:00"/>
        <d v="2023-04-12T00:00:00"/>
        <d v="2023-03-01T00:00:00"/>
        <d v="2023-10-07T00:00:00"/>
        <d v="2023-08-13T00:00:00"/>
        <d v="2022-07-19T00:00:00"/>
        <d v="2023-01-29T00:00:00"/>
        <d v="2023-05-22T00:00:00"/>
        <d v="2022-09-07T00:00:00"/>
        <d v="2022-01-06T00:00:00"/>
        <d v="2023-03-12T00:00:00"/>
        <d v="2022-06-30T00:00:00"/>
        <d v="2023-12-14T00:00:00"/>
        <d v="2023-06-15T00:00:00"/>
        <d v="2023-04-21T00:00:00"/>
        <d v="2022-05-05T00:00:00"/>
        <d v="2023-04-13T00:00:00"/>
        <d v="2022-05-17T00:00:00"/>
        <d v="2023-07-27T00:00:00"/>
        <d v="2022-11-21T00:00:00"/>
        <d v="2023-09-20T00:00:00"/>
        <d v="2023-06-01T00:00:00"/>
        <d v="2023-03-13T00:00:00"/>
        <d v="2023-04-02T00:00:00"/>
        <d v="2022-06-12T00:00:00"/>
        <d v="2023-04-06T00:00:00"/>
        <d v="2022-09-23T00:00:00"/>
        <d v="2023-06-18T00:00:00"/>
        <d v="2023-05-12T00:00:00"/>
        <d v="2023-10-04T00:00:00"/>
        <d v="2023-03-27T00:00:00"/>
        <d v="2022-03-21T00:00:00"/>
        <d v="2022-11-24T00:00:00"/>
        <d v="2022-06-04T00:00:00"/>
        <d v="2022-08-25T00:00:00"/>
        <d v="2023-01-28T00:00:00"/>
        <d v="2023-12-12T00:00:00"/>
        <d v="2023-12-25T00:00:00"/>
        <d v="2023-02-22T00:00:00"/>
        <d v="2023-04-23T00:00:00"/>
        <d v="2023-03-02T00:00:00"/>
        <d v="2022-03-05T00:00:00"/>
        <d v="2022-07-31T00:00:00"/>
        <d v="2023-02-03T00:00:00"/>
        <d v="2022-01-21T00:00:00"/>
        <d v="2022-12-27T00:00:00"/>
        <d v="2023-07-14T00:00:00"/>
        <d v="2023-09-10T00:00:00"/>
        <d v="2023-05-15T00:00:00"/>
        <d v="2022-10-07T00:00:00"/>
        <d v="2022-01-30T00:00:00"/>
        <d v="2023-11-16T00:00:00"/>
        <d v="2023-02-19T00:00:00"/>
        <d v="2023-09-30T00:00:00"/>
        <d v="2023-02-08T00:00:00"/>
        <d v="2023-08-30T00:00:00"/>
        <d v="2023-08-01T00:00:00"/>
        <d v="2023-11-10T00:00:00"/>
        <d v="2022-03-27T00:00:00"/>
        <d v="2022-05-19T00:00:00"/>
        <d v="2023-04-18T00:00:00"/>
        <d v="2022-07-06T00:00:00"/>
        <d v="2022-09-24T00:00:00"/>
        <d v="2022-12-02T00:00:00"/>
        <d v="2022-12-12T00:00:00"/>
        <d v="2023-03-08T00:00:00"/>
        <d v="2022-09-16T00:00:00"/>
        <d v="2022-02-23T00:00:00"/>
        <d v="2022-08-18T00:00:00"/>
        <d v="2022-02-11T00:00:00"/>
        <d v="2022-02-01T00:00:00"/>
        <d v="2022-05-10T00:00:00"/>
        <d v="2023-12-18T00:00:00"/>
        <d v="2022-09-20T00:00:00"/>
        <d v="2023-01-13T00:00:00"/>
        <d v="2022-06-21T00:00:00"/>
        <d v="2022-11-15T00:00:00"/>
        <d v="2022-01-27T00:00:00"/>
        <d v="2023-01-20T00:00:00"/>
        <d v="2023-02-11T00:00:00"/>
      </sharedItems>
      <fieldGroup par="20"/>
    </cacheField>
    <cacheField name="Delivery_Date" numFmtId="0">
      <sharedItems containsNonDate="0" containsDate="1" containsString="0" containsBlank="1" minDate="2022-01-06T00:00:00" maxDate="2024-01-13T00:00:00"/>
    </cacheField>
    <cacheField name="Item_Category" numFmtId="0">
      <sharedItems count="6">
        <s v="Office Supplies"/>
        <s v="MRO"/>
        <s v="Packaging"/>
        <s v="Raw Materials"/>
        <s v="del"/>
        <s v="Electronics"/>
      </sharedItems>
    </cacheField>
    <cacheField name="Order_Status" numFmtId="0">
      <sharedItems count="4">
        <s v="Cancelled"/>
        <s v="Delivered"/>
        <s v="Partially Delivered"/>
        <s v="Pending"/>
      </sharedItems>
    </cacheField>
    <cacheField name="Quantity" numFmtId="0">
      <sharedItems containsSemiMixedTypes="0" containsString="0" containsNumber="1" containsInteger="1" minValue="51" maxValue="5000"/>
    </cacheField>
    <cacheField name="Unit_Price" numFmtId="44">
      <sharedItems containsSemiMixedTypes="0" containsString="0" containsNumber="1" minValue="10.84" maxValue="109.17"/>
    </cacheField>
    <cacheField name="Negotiated_Price" numFmtId="44">
      <sharedItems containsSemiMixedTypes="0" containsString="0" containsNumber="1" minValue="9.27" maxValue="107.39"/>
    </cacheField>
    <cacheField name="Defective_Units" numFmtId="0">
      <sharedItems containsString="0" containsBlank="1" containsNumber="1" containsInteger="1" minValue="0" maxValue="321"/>
    </cacheField>
    <cacheField name="Compliance" numFmtId="0">
      <sharedItems count="2">
        <s v="Yes"/>
        <s v="No"/>
      </sharedItems>
    </cacheField>
    <cacheField name="Lead_Time" numFmtId="0">
      <sharedItems containsMixedTypes="1" containsNumber="1" containsInteger="1" minValue="1" maxValue="20"/>
    </cacheField>
    <cacheField name=" Total_Spend " numFmtId="44">
      <sharedItems containsSemiMixedTypes="0" containsString="0" containsNumber="1" minValue="772.8" maxValue="432900" count="777">
        <n v="20944.559999999998"/>
        <n v="56346.060000000005"/>
        <n v="83956.6"/>
        <n v="128378.87999999999"/>
        <n v="71425.399999999994"/>
        <n v="72787.649999999994"/>
        <n v="84832.680000000008"/>
        <n v="35861.32"/>
        <n v="67334.320000000007"/>
        <n v="12004.2"/>
        <n v="368400.00000000006"/>
        <n v="432900"/>
        <n v="374300"/>
        <n v="84400"/>
        <n v="242250"/>
        <n v="75600"/>
        <n v="65089.770000000004"/>
        <n v="46611.81"/>
        <n v="151761.69"/>
        <n v="7000.2"/>
        <n v="34162.15"/>
        <n v="32822.5"/>
        <n v="63087.57"/>
        <n v="26059.83"/>
        <n v="31440.85"/>
        <n v="25635.879999999997"/>
        <n v="57421.799999999996"/>
        <n v="6890.4"/>
        <n v="100529.55"/>
        <n v="73676.55"/>
        <n v="5189.92"/>
        <n v="19324.439999999999"/>
        <n v="49790.38"/>
        <n v="60625.770000000004"/>
        <n v="3065.78"/>
        <n v="24619.039999999997"/>
        <n v="72821.89"/>
        <n v="82355.400000000009"/>
        <n v="124429.1"/>
        <n v="20776.599999999999"/>
        <n v="17387.52"/>
        <n v="43607.200000000004"/>
        <n v="102492"/>
        <n v="65708.58"/>
        <n v="70525.84"/>
        <n v="19731.25"/>
        <n v="94303.360000000001"/>
        <n v="2695.92"/>
        <n v="46382.420000000006"/>
        <n v="11282.88"/>
        <n v="19727.13"/>
        <n v="12087"/>
        <n v="123293.73999999999"/>
        <n v="125312.4"/>
        <n v="79704.840000000011"/>
        <n v="83739.05"/>
        <n v="67491.06"/>
        <n v="42669.759999999995"/>
        <n v="142198.66"/>
        <n v="54508.52"/>
        <n v="62765.280000000006"/>
        <n v="772.8"/>
        <n v="82894.600000000006"/>
        <n v="2658.96"/>
        <n v="127022.09999999999"/>
        <n v="24668.65"/>
        <n v="57382"/>
        <n v="5624.65"/>
        <n v="3389.3999999999996"/>
        <n v="25322.82"/>
        <n v="47230.68"/>
        <n v="84118.32"/>
        <n v="45405.3"/>
        <n v="51374.75"/>
        <n v="98415.450000000012"/>
        <n v="8223.1200000000008"/>
        <n v="120772.8"/>
        <n v="12853.949999999999"/>
        <n v="50424"/>
        <n v="151585.99"/>
        <n v="45421.200000000004"/>
        <n v="41943"/>
        <n v="5999.28"/>
        <n v="8565.4500000000007"/>
        <n v="30084.78"/>
        <n v="88894.95"/>
        <n v="78033.399999999994"/>
        <n v="92612.79"/>
        <n v="17329"/>
        <n v="100577.61"/>
        <n v="126066.71"/>
        <n v="45313.200000000004"/>
        <n v="66354.12"/>
        <n v="69427.350000000006"/>
        <n v="163481.65"/>
        <n v="107833.49999999999"/>
        <n v="18326.240000000002"/>
        <n v="40621.57"/>
        <n v="70826.680000000008"/>
        <n v="140810.76"/>
        <n v="13799.400000000001"/>
        <n v="16184.480000000001"/>
        <n v="46659.25"/>
        <n v="28438.850000000002"/>
        <n v="178576.63999999998"/>
        <n v="11366.1"/>
        <n v="14609.279999999999"/>
        <n v="20386.849999999999"/>
        <n v="120159.8"/>
        <n v="173286"/>
        <n v="30143.75"/>
        <n v="70228.08"/>
        <n v="81401.5"/>
        <n v="33841.050000000003"/>
        <n v="165110.34"/>
        <n v="66556.95"/>
        <n v="86526.78"/>
        <n v="17573.669999999998"/>
        <n v="30178.560000000001"/>
        <n v="16856.22"/>
        <n v="71762.53"/>
        <n v="155111.25"/>
        <n v="26983.040000000001"/>
        <n v="87308.07"/>
        <n v="13985.369999999999"/>
        <n v="32213.61"/>
        <n v="50465.62"/>
        <n v="95280.42"/>
        <n v="37945.5"/>
        <n v="3256.32"/>
        <n v="43717.479999999996"/>
        <n v="11575.560000000001"/>
        <n v="109817"/>
        <n v="57015.840000000004"/>
        <n v="37887.9"/>
        <n v="85898.54"/>
        <n v="53044.26"/>
        <n v="13821.509999999998"/>
        <n v="118825.95"/>
        <n v="66172"/>
        <n v="90354.599999999991"/>
        <n v="77531.039999999994"/>
        <n v="52316.579999999994"/>
        <n v="23866.92"/>
        <n v="99828.28"/>
        <n v="42962.400000000001"/>
        <n v="15642.640000000001"/>
        <n v="9210.56"/>
        <n v="23296.519999999997"/>
        <n v="110660.4"/>
        <n v="19401.2"/>
        <n v="68458.720000000001"/>
        <n v="2696.4"/>
        <n v="25025.73"/>
        <n v="1933.84"/>
        <n v="10255"/>
        <n v="117343.42000000001"/>
        <n v="33483.31"/>
        <n v="48646.509999999995"/>
        <n v="100037.7"/>
        <n v="42979.140000000007"/>
        <n v="31342.560000000001"/>
        <n v="35504.159999999996"/>
        <n v="73983.240000000005"/>
        <n v="110293.24"/>
        <n v="73042.62"/>
        <n v="14595.76"/>
        <n v="16749.05"/>
        <n v="172249.2"/>
        <n v="38083.5"/>
        <n v="54189.000000000007"/>
        <n v="51368.6"/>
        <n v="183048.24"/>
        <n v="33100"/>
        <n v="59419.85"/>
        <n v="46876.079999999994"/>
        <n v="51723.359999999993"/>
        <n v="18767.98"/>
        <n v="28698.93"/>
        <n v="10372.08"/>
        <n v="20897.759999999998"/>
        <n v="9749.07"/>
        <n v="64528.800000000003"/>
        <n v="21167.519999999997"/>
        <n v="16110.900000000001"/>
        <n v="21360.639999999999"/>
        <n v="57707.519999999997"/>
        <n v="124916.39"/>
        <n v="40821.43"/>
        <n v="25604.61"/>
        <n v="19619.859999999997"/>
        <n v="43253.279999999999"/>
        <n v="51846.080000000002"/>
        <n v="21966.78"/>
        <n v="13662"/>
        <n v="27672.839999999997"/>
        <n v="27701.469999999998"/>
        <n v="28494.1"/>
        <n v="6200.2"/>
        <n v="108416.35"/>
        <n v="132055.56"/>
        <n v="6680.34"/>
        <n v="111710.40000000001"/>
        <n v="17466.400000000001"/>
        <n v="14172.480000000001"/>
        <n v="155865.60000000001"/>
        <n v="105466.32"/>
        <n v="9180.4"/>
        <n v="36962.97"/>
        <n v="47383.7"/>
        <n v="94435.47"/>
        <n v="48928.08"/>
        <n v="49190.720000000001"/>
        <n v="55140.4"/>
        <n v="67314.720000000001"/>
        <n v="126157.5"/>
        <n v="26879.489999999998"/>
        <n v="40044.18"/>
        <n v="48007.32"/>
        <n v="20307.509999999998"/>
        <n v="32348.52"/>
        <n v="48483.200000000004"/>
        <n v="73489.649999999994"/>
        <n v="57813.509999999995"/>
        <n v="84379.12000000001"/>
        <n v="31618.89"/>
        <n v="71243.460000000006"/>
        <n v="109528.34"/>
        <n v="42822"/>
        <n v="58430.43"/>
        <n v="68544.39"/>
        <n v="16654.120000000003"/>
        <n v="57774.02"/>
        <n v="38285.440000000002"/>
        <n v="8477.33"/>
        <n v="27037.339999999997"/>
        <n v="118914.48000000001"/>
        <n v="85709.5"/>
        <n v="86594.16"/>
        <n v="49008.52"/>
        <n v="37431.33"/>
        <n v="16914.100000000002"/>
        <n v="103862.34000000001"/>
        <n v="84981.599999999991"/>
        <n v="111223.44"/>
        <n v="35270.729999999996"/>
        <n v="34310.76"/>
        <n v="47191.200000000004"/>
        <n v="31835.78"/>
        <n v="26189.119999999999"/>
        <n v="102095"/>
        <n v="48298.58"/>
        <n v="182332.04"/>
        <n v="79256.479999999996"/>
        <n v="21264.33"/>
        <n v="13418.66"/>
        <n v="44555"/>
        <n v="50746.29"/>
        <n v="38826.25"/>
        <n v="44748.22"/>
        <n v="57103.200000000004"/>
        <n v="33903.760000000002"/>
        <n v="148789.5"/>
        <n v="18976"/>
        <n v="106739.27"/>
        <n v="75155.899999999994"/>
        <n v="45834.85"/>
        <n v="12364.210000000001"/>
        <n v="58923.539999999994"/>
        <n v="141488.53999999998"/>
        <n v="170666.4"/>
        <n v="120688.48"/>
        <n v="46530.200000000004"/>
        <n v="29389.08"/>
        <n v="109944.05999999998"/>
        <n v="170971.62"/>
        <n v="55755.700000000004"/>
        <n v="62442.94"/>
        <n v="24467.08"/>
        <n v="12759.12"/>
        <n v="1230.6299999999999"/>
        <n v="27018.100000000002"/>
        <n v="12306.75"/>
        <n v="90800.599999999991"/>
        <n v="27174.239999999998"/>
        <n v="35546.85"/>
        <n v="76517.100000000006"/>
        <n v="15098.859999999999"/>
        <n v="96353.279999999999"/>
        <n v="42449.909999999996"/>
        <n v="57359.040000000001"/>
        <n v="58799.72"/>
        <n v="22946.420000000002"/>
        <n v="28262.120000000003"/>
        <n v="39384.65"/>
        <n v="28171.4"/>
        <n v="138923.69999999998"/>
        <n v="10434"/>
        <n v="71508"/>
        <n v="45586.799999999996"/>
        <n v="17045.28"/>
        <n v="102935.73"/>
        <n v="9618.24"/>
        <n v="22446"/>
        <n v="35430.720000000001"/>
        <n v="13229.51"/>
        <n v="28080.149999999998"/>
        <n v="163878"/>
        <n v="97302.57"/>
        <n v="36824.04"/>
        <n v="17776.59"/>
        <n v="101708.15000000001"/>
        <n v="47836.800000000003"/>
        <n v="22492.799999999999"/>
        <n v="56798.909999999996"/>
        <n v="11089.78"/>
        <n v="52541.299999999996"/>
        <n v="29760.639999999999"/>
        <n v="94347.54"/>
        <n v="6633.96"/>
        <n v="31043.81"/>
        <n v="11583.539999999999"/>
        <n v="108740.34"/>
        <n v="134704.19999999998"/>
        <n v="38675.949999999997"/>
        <n v="33967.14"/>
        <n v="93271.6"/>
        <n v="18256.28"/>
        <n v="101401.73999999999"/>
        <n v="82241.279999999999"/>
        <n v="8586.76"/>
        <n v="56385.78"/>
        <n v="33050.600000000006"/>
        <n v="136814.96"/>
        <n v="99098.55"/>
        <n v="17350.5"/>
        <n v="85770.6"/>
        <n v="72031.649999999994"/>
        <n v="34752"/>
        <n v="33103.980000000003"/>
        <n v="54458.73"/>
        <n v="15138.6"/>
        <n v="175736.28"/>
        <n v="30281.219999999998"/>
        <n v="8626"/>
        <n v="32721.119999999999"/>
        <n v="107116.23"/>
        <n v="105300.52"/>
        <n v="18124.080000000002"/>
        <n v="158918.87"/>
        <n v="15775.82"/>
        <n v="9464.2000000000007"/>
        <n v="24113.59"/>
        <n v="30349.02"/>
        <n v="132883.1"/>
        <n v="11113.5"/>
        <n v="2861.1"/>
        <n v="67780.900000000009"/>
        <n v="115943.40000000001"/>
        <n v="12274.529999999999"/>
        <n v="137344.5"/>
        <n v="10366.299999999999"/>
        <n v="88833.3"/>
        <n v="25362.81"/>
        <n v="46390.400000000001"/>
        <n v="4439.8999999999996"/>
        <n v="26342.02"/>
        <n v="34316.160000000003"/>
        <n v="124201.71999999999"/>
        <n v="61925.350000000006"/>
        <n v="17198.439999999999"/>
        <n v="81378.36"/>
        <n v="27261.54"/>
        <n v="6540.54"/>
        <n v="4416.6400000000003"/>
        <n v="32318.37"/>
        <n v="156808.26"/>
        <n v="118304.48"/>
        <n v="29185.47"/>
        <n v="31310.28"/>
        <n v="167643.54"/>
        <n v="34174.770000000004"/>
        <n v="86979.1"/>
        <n v="7956"/>
        <n v="122064.25"/>
        <n v="3460.2599999999998"/>
        <n v="117819"/>
        <n v="117374.25"/>
        <n v="32410.82"/>
        <n v="120588"/>
        <n v="12722.08"/>
        <n v="15808.52"/>
        <n v="49510.400000000001"/>
        <n v="61699.409999999996"/>
        <n v="121999.24"/>
        <n v="42688.35"/>
        <n v="26718.480000000003"/>
        <n v="167866.44"/>
        <n v="80706.86"/>
        <n v="54421.08"/>
        <n v="39051.54"/>
        <n v="89574.24"/>
        <n v="151791.16"/>
        <n v="4477.2"/>
        <n v="151927.22999999998"/>
        <n v="75148.5"/>
        <n v="25890.240000000002"/>
        <n v="76882.5"/>
        <n v="41312.400000000001"/>
        <n v="31605.210000000003"/>
        <n v="62417.659999999996"/>
        <n v="171854.32"/>
        <n v="14078.65"/>
        <n v="47667.68"/>
        <n v="57389.68"/>
        <n v="24763.5"/>
        <n v="65613.47"/>
        <n v="42691.6"/>
        <n v="31381.46"/>
        <n v="38032.479999999996"/>
        <n v="46776.36"/>
        <n v="55706.879999999997"/>
        <n v="24662.880000000001"/>
        <n v="31305.760000000002"/>
        <n v="26006.25"/>
        <n v="39558.49"/>
        <n v="82182.45"/>
        <n v="7443.72"/>
        <n v="12973.5"/>
        <n v="84123"/>
        <n v="38751.840000000004"/>
        <n v="5176.8100000000004"/>
        <n v="128043.25"/>
        <n v="34496.639999999999"/>
        <n v="7321.08"/>
        <n v="5621"/>
        <n v="64894.5"/>
        <n v="14729.33"/>
        <n v="170386.6"/>
        <n v="19493.82"/>
        <n v="62417.280000000006"/>
        <n v="16325.619999999999"/>
        <n v="116270.27999999998"/>
        <n v="14527.880000000001"/>
        <n v="88342.16"/>
        <n v="49128.659999999996"/>
        <n v="22221.850000000002"/>
        <n v="8219.8799999999992"/>
        <n v="77098.28"/>
        <n v="36880.480000000003"/>
        <n v="21467.05"/>
        <n v="91667.400000000009"/>
        <n v="84084.25"/>
        <n v="3350.16"/>
        <n v="64304.25"/>
        <n v="61482.149999999994"/>
        <n v="13043.07"/>
        <n v="13318.32"/>
        <n v="26654.58"/>
        <n v="122201.46"/>
        <n v="48359.43"/>
        <n v="5934.8"/>
        <n v="68067.600000000006"/>
        <n v="107225.64"/>
        <n v="50926.8"/>
        <n v="4191.46"/>
        <n v="35805.96"/>
        <n v="40824.42"/>
        <n v="25026.3"/>
        <n v="2946.3"/>
        <n v="17226.560000000001"/>
        <n v="37609.480000000003"/>
        <n v="52444.979999999996"/>
        <n v="12816.6"/>
        <n v="20391.349999999999"/>
        <n v="19656"/>
        <n v="7993.94"/>
        <n v="63427.4"/>
        <n v="31508.25"/>
        <n v="21792.44"/>
        <n v="43936.740000000005"/>
        <n v="94662.760000000009"/>
        <n v="15524.669999999998"/>
        <n v="4895.0200000000004"/>
        <n v="89941.200000000012"/>
        <n v="122690.88"/>
        <n v="18154.8"/>
        <n v="21677.38"/>
        <n v="117347.76000000001"/>
        <n v="19411.100000000002"/>
        <n v="11679.15"/>
        <n v="50037.95"/>
        <n v="7992"/>
        <n v="33058.69"/>
        <n v="54315.45"/>
        <n v="87980.479999999996"/>
        <n v="98127.66"/>
        <n v="146992.32000000001"/>
        <n v="7641.84"/>
        <n v="16477.23"/>
        <n v="62095.040000000001"/>
        <n v="46862.46"/>
        <n v="40335.79"/>
        <n v="97958.12"/>
        <n v="83480.040000000008"/>
        <n v="16909.400000000001"/>
        <n v="59065.21"/>
        <n v="37363.200000000004"/>
        <n v="151016.5"/>
        <n v="129290.85"/>
        <n v="17485.12"/>
        <n v="55970.45"/>
        <n v="97562.599999999991"/>
        <n v="151809.48000000001"/>
        <n v="76086.8"/>
        <n v="23005.38"/>
        <n v="6583.7800000000007"/>
        <n v="30423.129999999997"/>
        <n v="80450.05"/>
        <n v="66382.960000000006"/>
        <n v="63108.5"/>
        <n v="1757.8"/>
        <n v="57927.28"/>
        <n v="7281.57"/>
        <n v="20642.3"/>
        <n v="50902.97"/>
        <n v="17385.39"/>
        <n v="4790.83"/>
        <n v="61006.340000000004"/>
        <n v="18612.830000000002"/>
        <n v="127316.04000000001"/>
        <n v="18085.600000000002"/>
        <n v="76608"/>
        <n v="74478.45"/>
        <n v="119297.2"/>
        <n v="22737.25"/>
        <n v="18523.97"/>
        <n v="17483.280000000002"/>
        <n v="83482.350000000006"/>
        <n v="8576"/>
        <n v="106278.7"/>
        <n v="108881.07999999999"/>
        <n v="41371.199999999997"/>
        <n v="34227.300000000003"/>
        <n v="107927.82"/>
        <n v="9082.36"/>
        <n v="14058.989999999998"/>
        <n v="31593.759999999998"/>
        <n v="19187.400000000001"/>
        <n v="8449.98"/>
        <n v="138428.95000000001"/>
        <n v="12646.300000000001"/>
        <n v="52927.29"/>
        <n v="60152.959999999992"/>
        <n v="52394.23"/>
        <n v="34295.200000000004"/>
        <n v="20429.919999999998"/>
        <n v="47220.46"/>
        <n v="37282.76"/>
        <n v="18072.62"/>
        <n v="56727.880000000005"/>
        <n v="105280"/>
        <n v="97244.549999999988"/>
        <n v="124096.9"/>
        <n v="1547.1"/>
        <n v="14358.960000000001"/>
        <n v="42765.3"/>
        <n v="53050.579999999994"/>
        <n v="12491.74"/>
        <n v="54694.14"/>
        <n v="61083.51"/>
        <n v="58200.7"/>
        <n v="7710.7199999999993"/>
        <n v="17889.48"/>
        <n v="14501.359999999999"/>
        <n v="79666.799999999988"/>
        <n v="94839.3"/>
        <n v="49032.75"/>
        <n v="16466.04"/>
        <n v="13718.060000000001"/>
        <n v="61684.25"/>
        <n v="97420.76999999999"/>
        <n v="114828.84"/>
        <n v="59199.76"/>
        <n v="43814.36"/>
        <n v="7334.5999999999995"/>
        <n v="16447.2"/>
        <n v="171436.2"/>
        <n v="36407.67"/>
        <n v="103237.68000000001"/>
        <n v="61669.74"/>
        <n v="20239.8"/>
        <n v="82656.210000000006"/>
        <n v="15683.68"/>
        <n v="156673.99"/>
        <n v="67494"/>
        <n v="77556"/>
        <n v="103133.09999999999"/>
        <n v="186986.59"/>
        <n v="34387.560000000005"/>
        <n v="94424.260000000009"/>
        <n v="35377.68"/>
        <n v="69215.22"/>
        <n v="51074.559999999998"/>
        <n v="25736.639999999999"/>
        <n v="63620.76"/>
        <n v="96045.04"/>
        <n v="45084.850000000006"/>
        <n v="73496.61"/>
        <n v="50394.75"/>
        <n v="19702.98"/>
        <n v="38223.660000000003"/>
        <n v="48470"/>
        <n v="179587.76"/>
        <n v="96283.88"/>
        <n v="127963.3"/>
        <n v="64942.520000000004"/>
        <n v="60179.76"/>
        <n v="124077.59999999999"/>
        <n v="23650.2"/>
        <n v="69225.89"/>
        <n v="12803.7"/>
        <n v="18828.560000000001"/>
        <n v="35216.85"/>
        <n v="4060"/>
        <n v="28251.86"/>
        <n v="110491.15999999999"/>
        <n v="41944.6"/>
        <n v="83088.709999999992"/>
        <n v="11451.1"/>
        <n v="52622.5"/>
        <n v="76830.06"/>
        <n v="84827.76"/>
        <n v="41966.400000000001"/>
        <n v="65638.319999999992"/>
        <n v="12300.859999999999"/>
        <n v="121995.16"/>
        <n v="28679.360000000001"/>
        <n v="13113.96"/>
        <n v="41329.659999999996"/>
        <n v="14851.51"/>
        <n v="85038.89"/>
        <n v="16335.06"/>
        <n v="52085.57"/>
        <n v="37118.770000000004"/>
        <n v="39046.800000000003"/>
        <n v="23256"/>
        <n v="126728.84999999999"/>
        <n v="58361.700000000004"/>
        <n v="74895.87999999999"/>
        <n v="108420"/>
        <n v="36186.78"/>
        <n v="6443.28"/>
        <n v="151130.6"/>
        <n v="26026.18"/>
        <n v="92355.64"/>
        <n v="130815.9"/>
        <n v="34228.14"/>
        <n v="16356.22"/>
        <n v="47626.53"/>
        <n v="43312.32"/>
        <n v="78091.34"/>
        <n v="24597.629999999997"/>
        <n v="25460.399999999998"/>
        <n v="5729.97"/>
        <n v="162014.78"/>
        <n v="39141.300000000003"/>
        <n v="44112.3"/>
        <n v="93791.82"/>
        <n v="16814.400000000001"/>
        <n v="97149.689999999988"/>
        <n v="70450.569999999992"/>
        <n v="6829.9"/>
        <n v="76687.520000000004"/>
        <n v="25674.41"/>
        <n v="53409.719999999994"/>
        <n v="52107.3"/>
        <n v="13447.060000000001"/>
        <n v="35402.76"/>
        <n v="95776.3"/>
        <n v="53881.74"/>
        <n v="180251.19"/>
        <n v="48840.51"/>
        <n v="109844.32"/>
        <n v="23745.15"/>
        <n v="45967.38"/>
        <n v="23801.96"/>
        <n v="21719"/>
        <n v="40860"/>
        <n v="130074.90000000001"/>
        <n v="55986.75"/>
        <n v="29211.48"/>
        <n v="149242.5"/>
        <n v="121703.20000000001"/>
        <n v="121071.96"/>
        <n v="196593.9"/>
        <n v="27096.48"/>
        <n v="70503.12"/>
        <n v="24926.42"/>
        <n v="31385.02"/>
        <n v="1501.8200000000002"/>
        <n v="147050.4"/>
        <n v="41277.5"/>
        <n v="60076.08"/>
        <n v="74534.460000000006"/>
        <n v="33904.76"/>
        <n v="49408.590000000004"/>
        <n v="1306.2"/>
        <n v="70530.64"/>
        <n v="31914.92"/>
        <n v="2805.02"/>
        <n v="80561.25"/>
        <n v="59062.74"/>
        <n v="164886.75"/>
        <n v="79410.670000000013"/>
        <n v="109444.5"/>
        <n v="62653.5"/>
        <n v="7990.37"/>
        <n v="7783.4400000000005"/>
        <n v="27392.58"/>
        <n v="62362.559999999998"/>
        <n v="91190.34"/>
        <n v="45325"/>
        <n v="24947.899999999998"/>
        <n v="49848.659999999996"/>
        <n v="111608.81999999999"/>
        <n v="19699.68"/>
        <n v="38410.68"/>
        <n v="71406.720000000001"/>
        <n v="78397.429999999993"/>
        <n v="48298.239999999998"/>
        <n v="111159"/>
        <n v="42874.9"/>
        <n v="54108"/>
        <n v="45022.5"/>
        <n v="44743.5"/>
        <n v="157904.02000000002"/>
        <n v="36781.14"/>
        <n v="73295.16"/>
        <n v="19798.150000000001"/>
        <n v="74418.720000000001"/>
        <n v="115781.01999999999"/>
        <n v="95435.96"/>
        <n v="119597.38"/>
        <n v="67186.34"/>
        <n v="60528.18"/>
        <n v="11869.7"/>
        <n v="42174.36"/>
        <n v="63645.68"/>
        <n v="109678.92"/>
        <n v="22938.12"/>
        <n v="7586.92"/>
        <n v="38394.159999999996"/>
        <n v="60304.44"/>
        <n v="132546.96"/>
        <n v="41595.94"/>
        <n v="27102.639999999999"/>
        <n v="21338.52"/>
        <n v="48886.92"/>
        <n v="8546.94"/>
        <n v="69994.11"/>
        <n v="90235.840000000011"/>
        <n v="170916.38"/>
        <n v="7239.42"/>
        <n v="19917.599999999999"/>
        <n v="122941.35"/>
        <n v="47924.800000000003"/>
        <n v="110851.1"/>
        <n v="8679.16"/>
        <n v="59211.68"/>
        <n v="68916.12"/>
        <n v="22410.16"/>
        <n v="71174.400000000009"/>
        <n v="26855.75"/>
        <n v="40453.660000000003"/>
        <n v="23860.62"/>
        <n v="185341.24000000002"/>
      </sharedItems>
    </cacheField>
    <cacheField name=" Original_Spend " numFmtId="44">
      <sharedItems containsSemiMixedTypes="0" containsString="0" containsNumber="1" minValue="865.9" maxValue="444799.99999999994"/>
    </cacheField>
    <cacheField name="Cost_Savings" numFmtId="44">
      <sharedItems containsSemiMixedTypes="0" containsString="0" containsNumber="1" minValue="43.019999999999982" maxValue="59400"/>
    </cacheField>
    <cacheField name="Savings_%" numFmtId="9">
      <sharedItems containsSemiMixedTypes="0" containsString="0" containsNumber="1" minValue="1.0054137664346412E-2" maxValue="0.14992548435171393"/>
    </cacheField>
    <cacheField name="Defect_Rate" numFmtId="9">
      <sharedItems containsSemiMixedTypes="0" containsString="0" containsNumber="1" minValue="0" maxValue="0.35714285714285715"/>
    </cacheField>
    <cacheField name="Delivery_Performance" numFmtId="0">
      <sharedItems/>
    </cacheField>
    <cacheField name="Data_Quality_Flag" numFmtId="0">
      <sharedItems/>
    </cacheField>
    <cacheField name="Months (Order_Date)" numFmtId="0" databaseField="0">
      <fieldGroup base="2">
        <rangePr groupBy="months" startDate="2022-01-01T00:00:00" endDate="2024-01-02T00:00:00"/>
        <groupItems count="14">
          <s v="&lt;01-01-2022"/>
          <s v="Jan"/>
          <s v="Feb"/>
          <s v="Mar"/>
          <s v="Apr"/>
          <s v="May"/>
          <s v="Jun"/>
          <s v="Jul"/>
          <s v="Aug"/>
          <s v="Sep"/>
          <s v="Oct"/>
          <s v="Nov"/>
          <s v="Dec"/>
          <s v="&gt;02-01-2024"/>
        </groupItems>
      </fieldGroup>
    </cacheField>
    <cacheField name="Years (Order_Date)" numFmtId="0" databaseField="0">
      <fieldGroup base="2">
        <rangePr groupBy="years" startDate="2022-01-01T00:00:00" endDate="2024-01-02T00:00:00"/>
        <groupItems count="5">
          <s v="&lt;01-01-2022"/>
          <s v="2022"/>
          <s v="2023"/>
          <s v="2024"/>
          <s v="&gt;02-01-2024"/>
        </groupItems>
      </fieldGroup>
    </cacheField>
  </cacheFields>
  <extLst>
    <ext xmlns:x14="http://schemas.microsoft.com/office/spreadsheetml/2009/9/main" uri="{725AE2AE-9491-48be-B2B4-4EB974FC3084}">
      <x14:pivotCacheDefinition pivotCacheId="9319463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y chauhan" refreshedDate="46303.840070138889" backgroundQuery="1" createdVersion="8" refreshedVersion="8" minRefreshableVersion="3" recordCount="0" supportSubquery="1" supportAdvancedDrill="1" xr:uid="{F4E41FAF-0B14-47B0-9C00-C39859FD8E73}">
  <cacheSource type="external" connectionId="1"/>
  <cacheFields count="4">
    <cacheField name="[Measures].[Average of Unit_Price]" caption="Average of Unit_Price" numFmtId="0" hierarchy="25" level="32767"/>
    <cacheField name="[Measures].[Average of Negotiated_Price]" caption="Average of Negotiated_Price" numFmtId="0" hierarchy="26" level="32767"/>
    <cacheField name="[Table1].[Order_Date (Quarter)].[Order_Date (Quarter)]" caption="Order_Date (Quarter)" numFmtId="0" hierarchy="20" level="1">
      <sharedItems count="4">
        <s v="Qtr1"/>
        <s v="Qtr2"/>
        <s v="Qtr3"/>
        <s v="Qtr4"/>
      </sharedItems>
    </cacheField>
    <cacheField name="[Table1].[Order_Date (Year)].[Order_Date (Year)]" caption="Order_Date (Year)" numFmtId="0" hierarchy="19" level="1">
      <sharedItems count="3">
        <s v="2022"/>
        <s v="2023"/>
        <s v="2024"/>
      </sharedItems>
    </cacheField>
  </cacheFields>
  <cacheHierarchies count="27">
    <cacheHierarchy uniqueName="[Table1].[PO_ID]" caption="PO_ID" attribute="1" defaultMemberUniqueName="[Table1].[PO_ID].[All]" allUniqueName="[Table1].[PO_ID].[All]" dimensionUniqueName="[Table1]" displayFolder="" count="0" memberValueDatatype="130" unbalanced="0"/>
    <cacheHierarchy uniqueName="[Table1].[Supplier]" caption="Supplier" attribute="1" defaultMemberUniqueName="[Table1].[Supplier].[All]" allUniqueName="[Table1].[Supplier].[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tem_Category]" caption="Item_Category" attribute="1" defaultMemberUniqueName="[Table1].[Item_Category].[All]" allUniqueName="[Table1].[Item_Category].[All]" dimensionUniqueName="[Table1]" displayFolder="" count="0" memberValueDatatype="130" unbalanced="0"/>
    <cacheHierarchy uniqueName="[Table1].[Order_Status]" caption="Order_Status" attribute="1" defaultMemberUniqueName="[Table1].[Order_Status].[All]" allUniqueName="[Table1].[Order_Status].[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Negotiated_Price]" caption="Negotiated_Price" attribute="1" defaultMemberUniqueName="[Table1].[Negotiated_Price].[All]" allUniqueName="[Table1].[Negotiated_Price].[All]" dimensionUniqueName="[Table1]" displayFolder="" count="0" memberValueDatatype="5" unbalanced="0"/>
    <cacheHierarchy uniqueName="[Table1].[Defective_Units]" caption="Defective_Units" attribute="1" defaultMemberUniqueName="[Table1].[Defective_Units].[All]" allUniqueName="[Table1].[Defective_Units].[All]" dimensionUniqueName="[Table1]" displayFolder="" count="0" memberValueDatatype="20" unbalanced="0"/>
    <cacheHierarchy uniqueName="[Table1].[Compliance]" caption="Compliance" attribute="1" defaultMemberUniqueName="[Table1].[Compliance].[All]" allUniqueName="[Table1].[Compliance].[All]" dimensionUniqueName="[Table1]" displayFolder="" count="0" memberValueDatatype="130" unbalanced="0"/>
    <cacheHierarchy uniqueName="[Table1].[Lead_Time]" caption="Lead_Time" attribute="1" defaultMemberUniqueName="[Table1].[Lead_Time].[All]" allUniqueName="[Table1].[Lead_Time].[All]" dimensionUniqueName="[Table1]" displayFolder="" count="0" memberValueDatatype="130" unbalanced="0"/>
    <cacheHierarchy uniqueName="[Table1].[Total_Spend]" caption="Total_Spend" attribute="1" defaultMemberUniqueName="[Table1].[Total_Spend].[All]" allUniqueName="[Table1].[Total_Spend].[All]" dimensionUniqueName="[Table1]" displayFolder="" count="0" memberValueDatatype="5" unbalanced="0"/>
    <cacheHierarchy uniqueName="[Table1].[Original_Spend]" caption="Original_Spend" attribute="1" defaultMemberUniqueName="[Table1].[Original_Spend].[All]" allUniqueName="[Table1].[Original_Spend].[All]" dimensionUniqueName="[Table1]" displayFolder="" count="0" memberValueDatatype="5" unbalanced="0"/>
    <cacheHierarchy uniqueName="[Table1].[Cost_Savings]" caption="Cost_Savings" attribute="1" defaultMemberUniqueName="[Table1].[Cost_Savings].[All]" allUniqueName="[Table1].[Cost_Savings].[All]" dimensionUniqueName="[Table1]" displayFolder="" count="0" memberValueDatatype="5" unbalanced="0"/>
    <cacheHierarchy uniqueName="[Table1].[Savings_%]" caption="Savings_%" attribute="1" defaultMemberUniqueName="[Table1].[Savings_%].[All]" allUniqueName="[Table1].[Savings_%].[All]" dimensionUniqueName="[Table1]" displayFolder="" count="0" memberValueDatatype="5" unbalanced="0"/>
    <cacheHierarchy uniqueName="[Table1].[Defect_Rate]" caption="Defect_Rate" attribute="1" defaultMemberUniqueName="[Table1].[Defect_Rate].[All]" allUniqueName="[Table1].[Defect_Rate].[All]" dimensionUniqueName="[Table1]" displayFolder="" count="0" memberValueDatatype="5" unbalanced="0"/>
    <cacheHierarchy uniqueName="[Table1].[Delivery_Performance]" caption="Delivery_Performance" attribute="1" defaultMemberUniqueName="[Table1].[Delivery_Performance].[All]" allUniqueName="[Table1].[Delivery_Performance].[All]" dimensionUniqueName="[Table1]" displayFolder="" count="0" memberValueDatatype="130" unbalanced="0"/>
    <cacheHierarchy uniqueName="[Table1].[Data_Quality_Flag]" caption="Data_Quality_Flag" attribute="1" defaultMemberUniqueName="[Table1].[Data_Quality_Flag].[All]" allUniqueName="[Table1].[Data_Quality_Flag].[All]" dimensionUniqueName="[Table1]" displayFolder="" count="0" memberValueDatatype="130"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3"/>
      </fieldsUsage>
    </cacheHierarchy>
    <cacheHierarchy uniqueName="[Table1].[Order_Date (Quarter)]" caption="Order_Date (Quarter)" attribute="1" defaultMemberUniqueName="[Table1].[Order_Date (Quarter)].[All]" allUniqueName="[Table1].[Order_Date (Quarter)].[All]" dimensionUniqueName="[Table1]" displayFolder="" count="2" memberValueDatatype="130" unbalanced="0">
      <fieldsUsage count="2">
        <fieldUsage x="-1"/>
        <fieldUsage x="2"/>
      </fieldsUsage>
    </cacheHierarchy>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Average of Unit_Price]" caption="Average of Unit_Price"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Negotiated_Price]" caption="Average of Negotiated_Price"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7">
  <r>
    <s v="PO-00001"/>
    <x v="0"/>
    <x v="0"/>
    <d v="2023-10-25T00:00:00"/>
    <x v="0"/>
    <x v="0"/>
    <n v="1176"/>
    <n v="20.13"/>
    <n v="17.809999999999999"/>
    <m/>
    <x v="0"/>
    <n v="8"/>
    <x v="0"/>
    <n v="23672.879999999997"/>
    <n v="2728.3199999999997"/>
    <n v="0.11525086934923001"/>
    <n v="0"/>
    <s v="Cancelled"/>
    <s v="Status-Date Conflict"/>
  </r>
  <r>
    <s v="PO-00002"/>
    <x v="1"/>
    <x v="1"/>
    <d v="2022-05-05T00:00:00"/>
    <x v="0"/>
    <x v="1"/>
    <n v="1509"/>
    <n v="39.32"/>
    <n v="37.340000000000003"/>
    <n v="235"/>
    <x v="0"/>
    <n v="10"/>
    <x v="1"/>
    <n v="59333.88"/>
    <n v="2987.8199999999924"/>
    <n v="5.0356052899287768E-2"/>
    <n v="0.15573227302849568"/>
    <s v="On Time"/>
    <s v="OK"/>
  </r>
  <r>
    <s v="PO-00003"/>
    <x v="2"/>
    <x v="2"/>
    <d v="2022-02-15T00:00:00"/>
    <x v="1"/>
    <x v="1"/>
    <n v="910"/>
    <n v="95.51"/>
    <n v="92.26"/>
    <n v="41"/>
    <x v="0"/>
    <n v="20"/>
    <x v="2"/>
    <n v="86914.1"/>
    <n v="2957.5"/>
    <n v="3.4027850486860009E-2"/>
    <n v="4.5054945054945054E-2"/>
    <s v="Late"/>
    <s v="OK"/>
  </r>
  <r>
    <s v="PO-00004"/>
    <x v="3"/>
    <x v="3"/>
    <d v="2022-10-28T00:00:00"/>
    <x v="2"/>
    <x v="1"/>
    <n v="1344"/>
    <n v="99.85"/>
    <n v="95.52"/>
    <n v="112"/>
    <x v="0"/>
    <n v="19"/>
    <x v="3"/>
    <n v="134198.39999999999"/>
    <n v="5819.5200000000041"/>
    <n v="4.336504757135707E-2"/>
    <n v="8.3333333333333329E-2"/>
    <s v="Late"/>
    <s v="OK"/>
  </r>
  <r>
    <s v="PO-00005"/>
    <x v="1"/>
    <x v="4"/>
    <d v="2022-09-20T00:00:00"/>
    <x v="3"/>
    <x v="1"/>
    <n v="1180"/>
    <n v="64.069999999999993"/>
    <n v="60.53"/>
    <n v="171"/>
    <x v="1"/>
    <n v="12"/>
    <x v="4"/>
    <n v="75602.599999999991"/>
    <n v="4177.1999999999971"/>
    <n v="5.5252068050569654E-2"/>
    <n v="0.14491525423728813"/>
    <s v="Late"/>
    <s v="OK"/>
  </r>
  <r>
    <s v="PO-00006"/>
    <x v="4"/>
    <x v="5"/>
    <d v="2022-08-29T00:00:00"/>
    <x v="1"/>
    <x v="1"/>
    <n v="1145"/>
    <n v="69.209999999999994"/>
    <n v="63.57"/>
    <n v="39"/>
    <x v="0"/>
    <n v="12"/>
    <x v="5"/>
    <n v="79245.45"/>
    <n v="6457.8000000000029"/>
    <n v="8.1491114000866963E-2"/>
    <n v="3.4061135371179038E-2"/>
    <s v="Late"/>
    <s v="OK"/>
  </r>
  <r>
    <s v="PO-00007"/>
    <x v="2"/>
    <x v="6"/>
    <d v="2022-06-03T00:00:00"/>
    <x v="1"/>
    <x v="1"/>
    <n v="1774"/>
    <n v="51.37"/>
    <n v="47.82"/>
    <n v="96"/>
    <x v="1"/>
    <n v="11"/>
    <x v="6"/>
    <n v="91130.37999999999"/>
    <n v="6297.6999999999825"/>
    <n v="6.9106482382713469E-2"/>
    <n v="5.4114994363021418E-2"/>
    <s v="Late"/>
    <s v="OK"/>
  </r>
  <r>
    <s v="PO-00008"/>
    <x v="0"/>
    <x v="7"/>
    <d v="2022-04-29T00:00:00"/>
    <x v="1"/>
    <x v="1"/>
    <n v="1094"/>
    <n v="36.93"/>
    <n v="32.78"/>
    <n v="22"/>
    <x v="0"/>
    <n v="14"/>
    <x v="7"/>
    <n v="40401.42"/>
    <n v="4540.0999999999985"/>
    <n v="0.11237476306525856"/>
    <n v="2.0109689213893969E-2"/>
    <s v="Late"/>
    <s v="OK"/>
  </r>
  <r>
    <s v="PO-00009"/>
    <x v="2"/>
    <x v="8"/>
    <d v="2023-11-28T00:00:00"/>
    <x v="3"/>
    <x v="2"/>
    <n v="1688"/>
    <n v="43.93"/>
    <n v="39.89"/>
    <n v="89"/>
    <x v="0"/>
    <n v="4"/>
    <x v="8"/>
    <n v="74153.84"/>
    <n v="6819.5199999999895"/>
    <n v="9.196448895970849E-2"/>
    <n v="5.2725118483412325E-2"/>
    <s v="Partially Delivered"/>
    <s v="Status-Date Conflict"/>
  </r>
  <r>
    <s v="PO-00010"/>
    <x v="2"/>
    <x v="9"/>
    <d v="2023-07-25T00:00:00"/>
    <x v="4"/>
    <x v="3"/>
    <n v="171"/>
    <n v="76.87"/>
    <n v="70.2"/>
    <n v="8"/>
    <x v="0"/>
    <n v="12"/>
    <x v="9"/>
    <n v="13144.77"/>
    <n v="1140.5699999999997"/>
    <n v="8.6769871211135663E-2"/>
    <n v="4.6783625730994149E-2"/>
    <s v="Pending"/>
    <s v="Status-Date Conflict"/>
  </r>
  <r>
    <s v="PO-00011"/>
    <x v="4"/>
    <x v="10"/>
    <d v="2022-04-15T00:00:00"/>
    <x v="3"/>
    <x v="1"/>
    <n v="5000"/>
    <n v="78.489999999999995"/>
    <n v="73.680000000000007"/>
    <n v="18"/>
    <x v="0"/>
    <n v="15"/>
    <x v="10"/>
    <n v="392450"/>
    <n v="24049.999999999942"/>
    <n v="6.1281691935278229E-2"/>
    <n v="3.5999999999999999E-3"/>
    <s v="Late"/>
    <s v="OK"/>
  </r>
  <r>
    <s v="PO-00012"/>
    <x v="3"/>
    <x v="11"/>
    <d v="2023-09-11T00:00:00"/>
    <x v="3"/>
    <x v="1"/>
    <n v="5000"/>
    <n v="88.96"/>
    <n v="86.58"/>
    <n v="115"/>
    <x v="0"/>
    <n v="14"/>
    <x v="11"/>
    <n v="444799.99999999994"/>
    <n v="11899.999999999942"/>
    <n v="2.675359712230203E-2"/>
    <n v="2.3E-2"/>
    <s v="Late"/>
    <s v="OK"/>
  </r>
  <r>
    <s v="PO-00013"/>
    <x v="3"/>
    <x v="12"/>
    <d v="2023-03-26T00:00:00"/>
    <x v="5"/>
    <x v="3"/>
    <n v="5000"/>
    <n v="86.74"/>
    <n v="74.86"/>
    <n v="51"/>
    <x v="0"/>
    <n v="17"/>
    <x v="12"/>
    <n v="433700"/>
    <n v="59400"/>
    <n v="0.13696103297210052"/>
    <n v="1.0200000000000001E-2"/>
    <s v="Pending"/>
    <s v="Status-Date Conflict"/>
  </r>
  <r>
    <s v="PO-00014"/>
    <x v="3"/>
    <x v="13"/>
    <m/>
    <x v="1"/>
    <x v="1"/>
    <n v="5000"/>
    <n v="18.3"/>
    <n v="16.88"/>
    <m/>
    <x v="0"/>
    <s v=""/>
    <x v="13"/>
    <n v="91500"/>
    <n v="7100"/>
    <n v="7.7595628415300544E-2"/>
    <n v="0"/>
    <s v="Missing Delivery Date"/>
    <s v="Missing Delivery Date"/>
  </r>
  <r>
    <s v="PO-00015"/>
    <x v="1"/>
    <x v="14"/>
    <d v="2022-02-18T00:00:00"/>
    <x v="5"/>
    <x v="3"/>
    <n v="5000"/>
    <n v="54.5"/>
    <n v="48.45"/>
    <n v="22"/>
    <x v="0"/>
    <n v="18"/>
    <x v="14"/>
    <n v="272500"/>
    <n v="30250"/>
    <n v="0.11100917431192661"/>
    <n v="4.4000000000000003E-3"/>
    <s v="Pending"/>
    <s v="Status-Date Conflict"/>
  </r>
  <r>
    <s v="PO-00016"/>
    <x v="3"/>
    <x v="15"/>
    <d v="2022-04-21T00:00:00"/>
    <x v="2"/>
    <x v="1"/>
    <n v="5000"/>
    <n v="15.41"/>
    <n v="15.12"/>
    <m/>
    <x v="0"/>
    <n v="15"/>
    <x v="15"/>
    <n v="77050"/>
    <n v="1450"/>
    <n v="1.8818948734587931E-2"/>
    <n v="0"/>
    <s v="Late"/>
    <s v="OK"/>
  </r>
  <r>
    <s v="PO-00017"/>
    <x v="1"/>
    <x v="16"/>
    <d v="2022-08-31T00:00:00"/>
    <x v="1"/>
    <x v="1"/>
    <n v="1173"/>
    <n v="61.54"/>
    <n v="55.49"/>
    <n v="172"/>
    <x v="1"/>
    <n v="19"/>
    <x v="16"/>
    <n v="72186.42"/>
    <n v="7096.6499999999942"/>
    <n v="9.8310042248943699E-2"/>
    <n v="0.14663256606990621"/>
    <s v="Late"/>
    <s v="OK"/>
  </r>
  <r>
    <s v="PO-00018"/>
    <x v="4"/>
    <x v="17"/>
    <d v="2022-09-04T00:00:00"/>
    <x v="3"/>
    <x v="1"/>
    <n v="921"/>
    <n v="51.48"/>
    <n v="50.61"/>
    <m/>
    <x v="0"/>
    <n v="8"/>
    <x v="17"/>
    <n v="47413.079999999994"/>
    <n v="801.2699999999968"/>
    <n v="1.6899766899766834E-2"/>
    <n v="0"/>
    <s v="On Time"/>
    <s v="OK"/>
  </r>
  <r>
    <s v="PO-00019"/>
    <x v="2"/>
    <x v="18"/>
    <d v="2023-06-05T00:00:00"/>
    <x v="3"/>
    <x v="2"/>
    <n v="1737"/>
    <n v="97.53"/>
    <n v="87.37"/>
    <n v="79"/>
    <x v="0"/>
    <n v="3"/>
    <x v="18"/>
    <n v="169409.61000000002"/>
    <n v="17647.920000000013"/>
    <n v="0.1041730749512971"/>
    <n v="4.5480713874496259E-2"/>
    <s v="Partially Delivered"/>
    <s v="Status-Date Conflict"/>
  </r>
  <r>
    <s v="PO-00020"/>
    <x v="1"/>
    <x v="19"/>
    <d v="2023-09-24T00:00:00"/>
    <x v="3"/>
    <x v="1"/>
    <n v="180"/>
    <n v="45.74"/>
    <n v="38.89"/>
    <m/>
    <x v="1"/>
    <n v="15"/>
    <x v="19"/>
    <n v="8233.2000000000007"/>
    <n v="1233.0000000000009"/>
    <n v="0.14975951027547016"/>
    <n v="0"/>
    <s v="Late"/>
    <s v="OK"/>
  </r>
  <r>
    <s v="PO-00021"/>
    <x v="4"/>
    <x v="20"/>
    <d v="2022-02-12T00:00:00"/>
    <x v="5"/>
    <x v="0"/>
    <n v="1735"/>
    <n v="20.54"/>
    <n v="19.690000000000001"/>
    <n v="49"/>
    <x v="0"/>
    <n v="15"/>
    <x v="20"/>
    <n v="35636.9"/>
    <n v="1474.75"/>
    <n v="4.1382667964946447E-2"/>
    <n v="2.824207492795389E-2"/>
    <s v="Cancelled"/>
    <s v="Status-Date Conflict"/>
  </r>
  <r>
    <s v="PO-00022"/>
    <x v="1"/>
    <x v="21"/>
    <d v="2023-08-11T00:00:00"/>
    <x v="3"/>
    <x v="1"/>
    <n v="1382"/>
    <n v="24.93"/>
    <n v="23.75"/>
    <m/>
    <x v="0"/>
    <n v="13"/>
    <x v="21"/>
    <n v="34453.26"/>
    <n v="1630.760000000002"/>
    <n v="4.7332531087043779E-2"/>
    <n v="0"/>
    <s v="Late"/>
    <s v="OK"/>
  </r>
  <r>
    <s v="PO-00023"/>
    <x v="4"/>
    <x v="22"/>
    <d v="2022-08-08T00:00:00"/>
    <x v="1"/>
    <x v="1"/>
    <n v="819"/>
    <n v="80.89"/>
    <n v="77.03"/>
    <n v="29"/>
    <x v="0"/>
    <n v="16"/>
    <x v="22"/>
    <n v="66248.91"/>
    <n v="3161.3400000000038"/>
    <n v="4.771912473729762E-2"/>
    <n v="3.5409035409035408E-2"/>
    <s v="Late"/>
    <s v="OK"/>
  </r>
  <r>
    <s v="PO-00024"/>
    <x v="3"/>
    <x v="23"/>
    <d v="2023-11-03T00:00:00"/>
    <x v="0"/>
    <x v="2"/>
    <n v="393"/>
    <n v="72.53"/>
    <n v="66.31"/>
    <n v="42"/>
    <x v="1"/>
    <n v="6"/>
    <x v="23"/>
    <n v="28504.29"/>
    <n v="2444.4599999999991"/>
    <n v="8.5757617537570621E-2"/>
    <n v="0.10687022900763359"/>
    <s v="Partially Delivered"/>
    <s v="Status-Date Conflict"/>
  </r>
  <r>
    <s v="PO-00025"/>
    <x v="3"/>
    <x v="24"/>
    <d v="2024-01-01T00:00:00"/>
    <x v="1"/>
    <x v="1"/>
    <n v="1565"/>
    <n v="21.3"/>
    <n v="20.09"/>
    <n v="161"/>
    <x v="0"/>
    <n v="12"/>
    <x v="24"/>
    <n v="33334.5"/>
    <n v="1893.6500000000015"/>
    <n v="5.6807511737089249E-2"/>
    <n v="0.10287539936102237"/>
    <s v="Late"/>
    <s v="OK"/>
  </r>
  <r>
    <s v="PO-00026"/>
    <x v="4"/>
    <x v="9"/>
    <d v="2023-07-24T00:00:00"/>
    <x v="2"/>
    <x v="1"/>
    <n v="1487"/>
    <n v="19.149999999999999"/>
    <n v="17.239999999999998"/>
    <m/>
    <x v="0"/>
    <n v="11"/>
    <x v="25"/>
    <n v="28476.05"/>
    <n v="2840.1700000000019"/>
    <n v="9.9738903394255937E-2"/>
    <n v="0"/>
    <s v="Late"/>
    <s v="OK"/>
  </r>
  <r>
    <s v="PO-00027"/>
    <x v="0"/>
    <x v="25"/>
    <d v="2023-03-26T00:00:00"/>
    <x v="1"/>
    <x v="1"/>
    <n v="855"/>
    <n v="78.2"/>
    <n v="67.16"/>
    <n v="17"/>
    <x v="0"/>
    <n v="20"/>
    <x v="26"/>
    <n v="66861"/>
    <n v="9439.2000000000044"/>
    <n v="0.14117647058823535"/>
    <n v="1.9883040935672516E-2"/>
    <s v="Late"/>
    <s v="OK"/>
  </r>
  <r>
    <s v="PO-00028"/>
    <x v="4"/>
    <x v="26"/>
    <d v="2022-08-23T00:00:00"/>
    <x v="3"/>
    <x v="1"/>
    <n v="435"/>
    <n v="17.13"/>
    <n v="15.84"/>
    <n v="8"/>
    <x v="0"/>
    <n v="9"/>
    <x v="27"/>
    <n v="7451.5499999999993"/>
    <n v="561.14999999999964"/>
    <n v="7.5306479859894873E-2"/>
    <n v="1.8390804597701149E-2"/>
    <s v="On Time"/>
    <s v="OK"/>
  </r>
  <r>
    <s v="PO-00029"/>
    <x v="1"/>
    <x v="27"/>
    <d v="2023-04-22T00:00:00"/>
    <x v="1"/>
    <x v="1"/>
    <n v="1265"/>
    <n v="90.26"/>
    <n v="79.47"/>
    <n v="187"/>
    <x v="0"/>
    <n v="17"/>
    <x v="28"/>
    <n v="114178.90000000001"/>
    <n v="13649.350000000006"/>
    <n v="0.11954354088189678"/>
    <n v="0.14782608695652175"/>
    <s v="Late"/>
    <s v="OK"/>
  </r>
  <r>
    <s v="PO-00030"/>
    <x v="4"/>
    <x v="28"/>
    <m/>
    <x v="1"/>
    <x v="1"/>
    <n v="1005"/>
    <n v="80.55"/>
    <n v="73.31"/>
    <n v="30"/>
    <x v="0"/>
    <s v=""/>
    <x v="29"/>
    <n v="80952.75"/>
    <n v="7276.1999999999971"/>
    <n v="8.9882060831781463E-2"/>
    <n v="2.9850746268656716E-2"/>
    <s v="Missing Delivery Date"/>
    <s v="Missing Delivery Date"/>
  </r>
  <r>
    <s v="PO-00031"/>
    <x v="2"/>
    <x v="29"/>
    <d v="2022-10-26T00:00:00"/>
    <x v="5"/>
    <x v="1"/>
    <n v="326"/>
    <n v="18.100000000000001"/>
    <n v="15.92"/>
    <m/>
    <x v="1"/>
    <n v="14"/>
    <x v="30"/>
    <n v="5900.6"/>
    <n v="710.68000000000029"/>
    <n v="0.12044198895027629"/>
    <n v="0"/>
    <s v="Late"/>
    <s v="OK"/>
  </r>
  <r>
    <s v="PO-00032"/>
    <x v="0"/>
    <x v="30"/>
    <d v="2022-01-15T00:00:00"/>
    <x v="0"/>
    <x v="1"/>
    <n v="1234"/>
    <n v="17.64"/>
    <n v="15.66"/>
    <n v="26"/>
    <x v="0"/>
    <n v="8"/>
    <x v="31"/>
    <n v="21767.760000000002"/>
    <n v="2443.3200000000033"/>
    <n v="0.11224489795918381"/>
    <n v="2.1069692058346839E-2"/>
    <s v="On Time"/>
    <s v="OK"/>
  </r>
  <r>
    <s v="PO-00033"/>
    <x v="4"/>
    <x v="31"/>
    <d v="2022-06-29T00:00:00"/>
    <x v="1"/>
    <x v="1"/>
    <n v="509"/>
    <n v="101.27"/>
    <n v="97.82"/>
    <n v="19"/>
    <x v="0"/>
    <n v="16"/>
    <x v="32"/>
    <n v="51546.43"/>
    <n v="1756.0500000000029"/>
    <n v="3.4067344722030275E-2"/>
    <n v="3.732809430255403E-2"/>
    <s v="Late"/>
    <s v="OK"/>
  </r>
  <r>
    <s v="PO-00034"/>
    <x v="0"/>
    <x v="32"/>
    <d v="2023-12-17T00:00:00"/>
    <x v="2"/>
    <x v="1"/>
    <n v="1387"/>
    <n v="48.71"/>
    <n v="43.71"/>
    <n v="27"/>
    <x v="0"/>
    <n v="1"/>
    <x v="33"/>
    <n v="67560.77"/>
    <n v="6935"/>
    <n v="0.10264832683227262"/>
    <n v="1.9466474405191059E-2"/>
    <s v="On Time"/>
    <s v="OK"/>
  </r>
  <r>
    <s v="PO-00035"/>
    <x v="0"/>
    <x v="12"/>
    <d v="2023-03-17T00:00:00"/>
    <x v="1"/>
    <x v="1"/>
    <n v="71"/>
    <n v="46.39"/>
    <n v="43.18"/>
    <n v="0"/>
    <x v="0"/>
    <n v="8"/>
    <x v="34"/>
    <n v="3293.69"/>
    <n v="227.90999999999985"/>
    <n v="6.9195947402457381E-2"/>
    <n v="0"/>
    <s v="On Time"/>
    <s v="OK"/>
  </r>
  <r>
    <s v="PO-00036"/>
    <x v="4"/>
    <x v="33"/>
    <d v="2022-12-23T00:00:00"/>
    <x v="0"/>
    <x v="1"/>
    <n v="302"/>
    <n v="87.73"/>
    <n v="81.52"/>
    <n v="9"/>
    <x v="0"/>
    <n v="8"/>
    <x v="35"/>
    <n v="26494.460000000003"/>
    <n v="1875.4200000000055"/>
    <n v="7.0785364185569563E-2"/>
    <n v="2.9801324503311258E-2"/>
    <s v="On Time"/>
    <s v="OK"/>
  </r>
  <r>
    <s v="PO-00037"/>
    <x v="4"/>
    <x v="29"/>
    <d v="2022-10-31T00:00:00"/>
    <x v="0"/>
    <x v="3"/>
    <n v="797"/>
    <n v="99.54"/>
    <n v="91.37"/>
    <n v="18"/>
    <x v="0"/>
    <n v="19"/>
    <x v="36"/>
    <n v="79333.38"/>
    <n v="6511.4900000000052"/>
    <n v="8.2077556761101123E-2"/>
    <n v="2.258469259723965E-2"/>
    <s v="Pending"/>
    <s v="Status-Date Conflict"/>
  </r>
  <r>
    <s v="PO-00038"/>
    <x v="3"/>
    <x v="34"/>
    <d v="2022-06-27T00:00:00"/>
    <x v="0"/>
    <x v="3"/>
    <n v="906"/>
    <n v="101.21"/>
    <n v="90.9"/>
    <n v="94"/>
    <x v="0"/>
    <n v="18"/>
    <x v="37"/>
    <n v="91696.26"/>
    <n v="9340.859999999986"/>
    <n v="0.10186740440667903"/>
    <n v="0.10375275938189846"/>
    <s v="Pending"/>
    <s v="Status-Date Conflict"/>
  </r>
  <r>
    <s v="PO-00039"/>
    <x v="4"/>
    <x v="35"/>
    <d v="2022-08-23T00:00:00"/>
    <x v="0"/>
    <x v="1"/>
    <n v="1634"/>
    <n v="80.53"/>
    <n v="76.150000000000006"/>
    <n v="50"/>
    <x v="0"/>
    <n v="14"/>
    <x v="38"/>
    <n v="131586.01999999999"/>
    <n v="7156.9199999999837"/>
    <n v="5.4389668446541542E-2"/>
    <n v="3.0599755201958383E-2"/>
    <s v="Late"/>
    <s v="OK"/>
  </r>
  <r>
    <s v="PO-00040"/>
    <x v="4"/>
    <x v="36"/>
    <m/>
    <x v="0"/>
    <x v="1"/>
    <n v="524"/>
    <n v="46.28"/>
    <n v="39.65"/>
    <n v="14"/>
    <x v="0"/>
    <s v=""/>
    <x v="39"/>
    <n v="24250.720000000001"/>
    <n v="3474.1200000000026"/>
    <n v="0.14325842696629223"/>
    <n v="2.6717557251908396E-2"/>
    <s v="Missing Delivery Date"/>
    <s v="Missing Delivery Date"/>
  </r>
  <r>
    <s v="PO-00041"/>
    <x v="3"/>
    <x v="7"/>
    <d v="2022-04-27T00:00:00"/>
    <x v="5"/>
    <x v="1"/>
    <n v="1132"/>
    <n v="17.78"/>
    <n v="15.36"/>
    <n v="96"/>
    <x v="0"/>
    <n v="12"/>
    <x v="40"/>
    <n v="20126.960000000003"/>
    <n v="2739.4400000000023"/>
    <n v="0.13610798650168737"/>
    <n v="8.4805653710247356E-2"/>
    <s v="Late"/>
    <s v="OK"/>
  </r>
  <r>
    <s v="PO-00042"/>
    <x v="3"/>
    <x v="37"/>
    <d v="2022-04-14T00:00:00"/>
    <x v="0"/>
    <x v="1"/>
    <n v="560"/>
    <n v="81.14"/>
    <n v="77.87"/>
    <n v="34"/>
    <x v="1"/>
    <n v="9"/>
    <x v="41"/>
    <n v="45438.400000000001"/>
    <n v="1831.1999999999971"/>
    <n v="4.0300714813901829E-2"/>
    <n v="6.0714285714285714E-2"/>
    <s v="On Time"/>
    <s v="OK"/>
  </r>
  <r>
    <s v="PO-00043"/>
    <x v="2"/>
    <x v="38"/>
    <d v="2023-02-02T00:00:00"/>
    <x v="5"/>
    <x v="1"/>
    <n v="1755"/>
    <n v="63.87"/>
    <n v="58.4"/>
    <n v="85"/>
    <x v="0"/>
    <n v="8"/>
    <x v="42"/>
    <n v="112091.84999999999"/>
    <n v="9599.8499999999913"/>
    <n v="8.5642711758258896E-2"/>
    <n v="4.843304843304843E-2"/>
    <s v="On Time"/>
    <s v="OK"/>
  </r>
  <r>
    <s v="PO-00044"/>
    <x v="4"/>
    <x v="39"/>
    <d v="2022-04-17T00:00:00"/>
    <x v="1"/>
    <x v="1"/>
    <n v="1549"/>
    <n v="48.9"/>
    <n v="42.42"/>
    <n v="48"/>
    <x v="0"/>
    <n v="7"/>
    <x v="43"/>
    <n v="75746.099999999991"/>
    <n v="10037.51999999999"/>
    <n v="0.13251533742331276"/>
    <n v="3.0987734021949646E-2"/>
    <s v="On Time"/>
    <s v="OK"/>
  </r>
  <r>
    <s v="PO-00045"/>
    <x v="1"/>
    <x v="40"/>
    <d v="2023-01-21T00:00:00"/>
    <x v="1"/>
    <x v="1"/>
    <n v="749"/>
    <n v="97.07"/>
    <n v="94.16"/>
    <n v="123"/>
    <x v="0"/>
    <n v="18"/>
    <x v="44"/>
    <n v="72705.429999999993"/>
    <n v="2179.5899999999965"/>
    <n v="2.9978366127536783E-2"/>
    <n v="0.16421895861148197"/>
    <s v="Late"/>
    <s v="OK"/>
  </r>
  <r>
    <s v="PO-00046"/>
    <x v="0"/>
    <x v="41"/>
    <m/>
    <x v="5"/>
    <x v="1"/>
    <n v="1025"/>
    <n v="21.11"/>
    <n v="19.25"/>
    <n v="15"/>
    <x v="0"/>
    <s v=""/>
    <x v="45"/>
    <n v="21637.75"/>
    <n v="1906.5"/>
    <n v="8.8109900521080059E-2"/>
    <n v="1.4634146341463415E-2"/>
    <s v="Missing Delivery Date"/>
    <s v="Missing Delivery Date"/>
  </r>
  <r>
    <s v="PO-00047"/>
    <x v="3"/>
    <x v="42"/>
    <d v="2023-09-18T00:00:00"/>
    <x v="3"/>
    <x v="1"/>
    <n v="1856"/>
    <n v="59.77"/>
    <n v="50.81"/>
    <n v="191"/>
    <x v="0"/>
    <n v="7"/>
    <x v="46"/>
    <n v="110933.12000000001"/>
    <n v="16629.760000000009"/>
    <n v="0.14990798059227045"/>
    <n v="0.10290948275862069"/>
    <s v="On Time"/>
    <s v="OK"/>
  </r>
  <r>
    <s v="PO-00048"/>
    <x v="4"/>
    <x v="43"/>
    <d v="2022-10-14T00:00:00"/>
    <x v="0"/>
    <x v="1"/>
    <n v="239"/>
    <n v="11.46"/>
    <n v="11.28"/>
    <n v="4"/>
    <x v="0"/>
    <n v="16"/>
    <x v="47"/>
    <n v="2738.94"/>
    <n v="43.019999999999982"/>
    <n v="1.5706806282722505E-2"/>
    <n v="1.6736401673640166E-2"/>
    <s v="Late"/>
    <s v="OK"/>
  </r>
  <r>
    <s v="PO-00049"/>
    <x v="1"/>
    <x v="44"/>
    <d v="2022-03-05T00:00:00"/>
    <x v="0"/>
    <x v="3"/>
    <n v="1007"/>
    <n v="52.44"/>
    <n v="46.06"/>
    <n v="167"/>
    <x v="0"/>
    <n v="19"/>
    <x v="48"/>
    <n v="52807.079999999994"/>
    <n v="6424.6599999999889"/>
    <n v="0.12166285278413405"/>
    <n v="0.16583912611717974"/>
    <s v="Pending"/>
    <s v="Status-Date Conflict"/>
  </r>
  <r>
    <s v="PO-00050"/>
    <x v="0"/>
    <x v="45"/>
    <m/>
    <x v="1"/>
    <x v="3"/>
    <n v="736"/>
    <n v="16.2"/>
    <n v="15.33"/>
    <n v="18"/>
    <x v="0"/>
    <s v=""/>
    <x v="49"/>
    <n v="11923.199999999999"/>
    <n v="640.31999999999971"/>
    <n v="5.3703703703703684E-2"/>
    <n v="2.4456521739130436E-2"/>
    <s v="Pending"/>
    <s v="OK"/>
  </r>
  <r>
    <s v="PO-00051"/>
    <x v="4"/>
    <x v="46"/>
    <d v="2023-07-14T00:00:00"/>
    <x v="5"/>
    <x v="1"/>
    <n v="1007"/>
    <n v="22.56"/>
    <n v="19.59"/>
    <m/>
    <x v="0"/>
    <n v="10"/>
    <x v="50"/>
    <n v="22717.919999999998"/>
    <n v="2990.7899999999972"/>
    <n v="0.13164893617021264"/>
    <n v="0"/>
    <s v="On Time"/>
    <s v="OK"/>
  </r>
  <r>
    <s v="PO-00052"/>
    <x v="1"/>
    <x v="47"/>
    <m/>
    <x v="0"/>
    <x v="1"/>
    <n v="612"/>
    <n v="20.99"/>
    <n v="19.75"/>
    <n v="102"/>
    <x v="0"/>
    <s v=""/>
    <x v="51"/>
    <n v="12845.88"/>
    <n v="758.8799999999992"/>
    <n v="5.9075750357312946E-2"/>
    <n v="0.16666666666666666"/>
    <s v="Missing Delivery Date"/>
    <s v="Missing Delivery Date"/>
  </r>
  <r>
    <s v="PO-00053"/>
    <x v="0"/>
    <x v="48"/>
    <d v="2023-02-02T00:00:00"/>
    <x v="1"/>
    <x v="3"/>
    <n v="1949"/>
    <n v="72.53"/>
    <n v="63.26"/>
    <n v="48"/>
    <x v="1"/>
    <n v="10"/>
    <x v="52"/>
    <n v="141360.97"/>
    <n v="18067.23000000001"/>
    <n v="0.12780918240727981"/>
    <n v="2.4628014366341714E-2"/>
    <s v="Pending"/>
    <s v="Status-Date Conflict"/>
  </r>
  <r>
    <s v="PO-00054"/>
    <x v="1"/>
    <x v="49"/>
    <d v="2022-03-28T00:00:00"/>
    <x v="0"/>
    <x v="0"/>
    <n v="1640"/>
    <n v="77.92"/>
    <n v="76.41"/>
    <n v="262"/>
    <x v="1"/>
    <n v="6"/>
    <x v="53"/>
    <n v="127788.8"/>
    <n v="2476.4000000000087"/>
    <n v="1.9378850102669473E-2"/>
    <n v="0.15975609756097561"/>
    <s v="Cancelled"/>
    <s v="Status-Date Conflict"/>
  </r>
  <r>
    <s v="PO-00055"/>
    <x v="3"/>
    <x v="50"/>
    <d v="2023-08-07T00:00:00"/>
    <x v="5"/>
    <x v="1"/>
    <n v="1317"/>
    <n v="68.13"/>
    <n v="60.52"/>
    <n v="136"/>
    <x v="0"/>
    <n v="18"/>
    <x v="54"/>
    <n v="89727.209999999992"/>
    <n v="10022.369999999981"/>
    <n v="0.11169822398356063"/>
    <n v="0.10326499620349279"/>
    <s v="Late"/>
    <s v="OK"/>
  </r>
  <r>
    <s v="PO-00056"/>
    <x v="4"/>
    <x v="51"/>
    <d v="2022-10-30T00:00:00"/>
    <x v="3"/>
    <x v="1"/>
    <n v="881"/>
    <n v="100.94"/>
    <n v="95.05"/>
    <n v="30"/>
    <x v="0"/>
    <n v="2"/>
    <x v="55"/>
    <n v="88928.14"/>
    <n v="5189.0899999999965"/>
    <n v="5.8351495938181057E-2"/>
    <n v="3.4052213393870601E-2"/>
    <s v="On Time"/>
    <s v="OK"/>
  </r>
  <r>
    <s v="PO-00057"/>
    <x v="1"/>
    <x v="52"/>
    <m/>
    <x v="2"/>
    <x v="1"/>
    <n v="1578"/>
    <n v="48.33"/>
    <n v="42.77"/>
    <n v="206"/>
    <x v="0"/>
    <s v=""/>
    <x v="56"/>
    <n v="76264.739999999991"/>
    <n v="8773.679999999993"/>
    <n v="0.1150424167183943"/>
    <n v="0.13054499366286437"/>
    <s v="Missing Delivery Date"/>
    <s v="Missing Delivery Date"/>
  </r>
  <r>
    <s v="PO-00058"/>
    <x v="1"/>
    <x v="53"/>
    <d v="2023-10-01T00:00:00"/>
    <x v="1"/>
    <x v="1"/>
    <n v="1204"/>
    <n v="39.29"/>
    <n v="35.44"/>
    <m/>
    <x v="0"/>
    <n v="5"/>
    <x v="57"/>
    <n v="47305.159999999996"/>
    <n v="4635.4000000000015"/>
    <n v="9.7989310257062909E-2"/>
    <n v="0"/>
    <s v="On Time"/>
    <s v="OK"/>
  </r>
  <r>
    <s v="PO-00059"/>
    <x v="4"/>
    <x v="54"/>
    <d v="2023-01-22T00:00:00"/>
    <x v="1"/>
    <x v="3"/>
    <n v="1558"/>
    <n v="93.46"/>
    <n v="91.27"/>
    <n v="39"/>
    <x v="0"/>
    <n v="16"/>
    <x v="58"/>
    <n v="145610.68"/>
    <n v="3412.0199999999895"/>
    <n v="2.3432484485341253E-2"/>
    <n v="2.5032092426187421E-2"/>
    <s v="Pending"/>
    <s v="Status-Date Conflict"/>
  </r>
  <r>
    <s v="PO-00060"/>
    <x v="0"/>
    <x v="55"/>
    <d v="2023-08-16T00:00:00"/>
    <x v="2"/>
    <x v="1"/>
    <n v="1892"/>
    <n v="32.99"/>
    <n v="28.81"/>
    <n v="35"/>
    <x v="0"/>
    <n v="1"/>
    <x v="59"/>
    <n v="62417.08"/>
    <n v="7908.5600000000049"/>
    <n v="0.12670506214004251"/>
    <n v="1.849894291754757E-2"/>
    <s v="On Time"/>
    <s v="OK"/>
  </r>
  <r>
    <s v="PO-00061"/>
    <x v="4"/>
    <x v="56"/>
    <d v="2022-08-01T00:00:00"/>
    <x v="2"/>
    <x v="1"/>
    <n v="696"/>
    <n v="99.59"/>
    <n v="90.18"/>
    <n v="25"/>
    <x v="0"/>
    <n v="16"/>
    <x v="60"/>
    <n v="69314.64"/>
    <n v="6549.3599999999933"/>
    <n v="9.4487398333165884E-2"/>
    <n v="3.5919540229885055E-2"/>
    <s v="Late"/>
    <s v="OK"/>
  </r>
  <r>
    <s v="PO-00062"/>
    <x v="1"/>
    <x v="57"/>
    <d v="2024-01-03T00:00:00"/>
    <x v="1"/>
    <x v="2"/>
    <n v="70"/>
    <n v="12.37"/>
    <n v="11.04"/>
    <n v="10"/>
    <x v="0"/>
    <n v="11"/>
    <x v="61"/>
    <n v="865.9"/>
    <n v="93.100000000000023"/>
    <n v="0.10751818916734036"/>
    <n v="0.14285714285714285"/>
    <s v="Partially Delivered"/>
    <s v="Status-Date Conflict"/>
  </r>
  <r>
    <s v="PO-00063"/>
    <x v="2"/>
    <x v="58"/>
    <d v="2022-03-15T00:00:00"/>
    <x v="3"/>
    <x v="1"/>
    <n v="890"/>
    <n v="98.26"/>
    <n v="93.14"/>
    <n v="49"/>
    <x v="0"/>
    <n v="2"/>
    <x v="62"/>
    <n v="87451.400000000009"/>
    <n v="4556.8000000000029"/>
    <n v="5.21066558111134E-2"/>
    <n v="5.5056179775280899E-2"/>
    <s v="On Time"/>
    <s v="OK"/>
  </r>
  <r>
    <s v="PO-00064"/>
    <x v="0"/>
    <x v="59"/>
    <d v="2022-03-04T00:00:00"/>
    <x v="1"/>
    <x v="1"/>
    <n v="216"/>
    <n v="13.95"/>
    <n v="12.31"/>
    <n v="5"/>
    <x v="0"/>
    <n v="16"/>
    <x v="63"/>
    <n v="3013.2"/>
    <n v="354.23999999999978"/>
    <n v="0.11756272401433686"/>
    <n v="2.3148148148148147E-2"/>
    <s v="Late"/>
    <s v="OK"/>
  </r>
  <r>
    <s v="PO-00065"/>
    <x v="1"/>
    <x v="60"/>
    <d v="2023-11-12T00:00:00"/>
    <x v="2"/>
    <x v="1"/>
    <n v="1347"/>
    <n v="100.13"/>
    <n v="94.3"/>
    <n v="200"/>
    <x v="0"/>
    <n v="3"/>
    <x v="64"/>
    <n v="134875.10999999999"/>
    <n v="7853.0099999999948"/>
    <n v="5.8224308399081159E-2"/>
    <n v="0.14847809948032664"/>
    <s v="On Time"/>
    <s v="OK"/>
  </r>
  <r>
    <s v="PO-00066"/>
    <x v="2"/>
    <x v="61"/>
    <d v="2022-08-25T00:00:00"/>
    <x v="0"/>
    <x v="2"/>
    <n v="437"/>
    <n v="59.51"/>
    <n v="56.45"/>
    <n v="25"/>
    <x v="1"/>
    <n v="3"/>
    <x v="65"/>
    <n v="26005.87"/>
    <n v="1337.2199999999975"/>
    <n v="5.1419929423626186E-2"/>
    <n v="5.7208237986270026E-2"/>
    <s v="Partially Delivered"/>
    <s v="Status-Date Conflict"/>
  </r>
  <r>
    <s v="PO-00067"/>
    <x v="0"/>
    <x v="62"/>
    <d v="2022-10-26T00:00:00"/>
    <x v="5"/>
    <x v="1"/>
    <n v="650"/>
    <n v="103.84"/>
    <n v="88.28"/>
    <n v="12"/>
    <x v="0"/>
    <n v="2"/>
    <x v="66"/>
    <n v="67496"/>
    <n v="10114"/>
    <n v="0.14984591679506934"/>
    <n v="1.8461538461538463E-2"/>
    <s v="On Time"/>
    <s v="OK"/>
  </r>
  <r>
    <s v="PO-00068"/>
    <x v="3"/>
    <x v="63"/>
    <d v="2022-04-11T00:00:00"/>
    <x v="0"/>
    <x v="1"/>
    <n v="365"/>
    <n v="16.809999999999999"/>
    <n v="15.41"/>
    <n v="38"/>
    <x v="0"/>
    <n v="19"/>
    <x v="67"/>
    <n v="6135.65"/>
    <n v="511"/>
    <n v="8.3283759666864965E-2"/>
    <n v="0.10410958904109589"/>
    <s v="Late"/>
    <s v="OK"/>
  </r>
  <r>
    <s v="PO-00069"/>
    <x v="4"/>
    <x v="17"/>
    <m/>
    <x v="3"/>
    <x v="0"/>
    <n v="63"/>
    <n v="61.94"/>
    <n v="53.8"/>
    <m/>
    <x v="0"/>
    <s v=""/>
    <x v="68"/>
    <n v="3902.22"/>
    <n v="512.82000000000016"/>
    <n v="0.13141750080723286"/>
    <n v="0"/>
    <s v="Cancelled"/>
    <s v="OK"/>
  </r>
  <r>
    <s v="PO-00070"/>
    <x v="0"/>
    <x v="64"/>
    <d v="2022-04-22T00:00:00"/>
    <x v="1"/>
    <x v="1"/>
    <n v="291"/>
    <n v="98.7"/>
    <n v="87.02"/>
    <n v="9"/>
    <x v="0"/>
    <n v="8"/>
    <x v="69"/>
    <n v="28721.7"/>
    <n v="3398.880000000001"/>
    <n v="0.11833839918946305"/>
    <n v="3.0927835051546393E-2"/>
    <s v="On Time"/>
    <s v="OK"/>
  </r>
  <r>
    <s v="PO-00071"/>
    <x v="0"/>
    <x v="38"/>
    <d v="2023-02-08T00:00:00"/>
    <x v="1"/>
    <x v="0"/>
    <n v="826"/>
    <n v="60.5"/>
    <n v="57.18"/>
    <n v="18"/>
    <x v="0"/>
    <n v="14"/>
    <x v="70"/>
    <n v="49973"/>
    <n v="2742.3199999999997"/>
    <n v="5.4876033057851235E-2"/>
    <n v="2.1791767554479417E-2"/>
    <s v="Cancelled"/>
    <s v="Status-Date Conflict"/>
  </r>
  <r>
    <s v="PO-00072"/>
    <x v="1"/>
    <x v="29"/>
    <d v="2022-11-01T00:00:00"/>
    <x v="5"/>
    <x v="3"/>
    <n v="1419"/>
    <n v="69.64"/>
    <n v="59.28"/>
    <n v="194"/>
    <x v="0"/>
    <n v="20"/>
    <x v="71"/>
    <n v="98819.16"/>
    <n v="14700.839999999997"/>
    <n v="0.1487650775416427"/>
    <n v="0.13671599718111346"/>
    <s v="Pending"/>
    <s v="Status-Date Conflict"/>
  </r>
  <r>
    <s v="PO-00073"/>
    <x v="2"/>
    <x v="65"/>
    <d v="2023-04-27T00:00:00"/>
    <x v="0"/>
    <x v="1"/>
    <n v="614"/>
    <n v="78.06"/>
    <n v="73.95"/>
    <n v="40"/>
    <x v="0"/>
    <n v="17"/>
    <x v="72"/>
    <n v="47928.840000000004"/>
    <n v="2523.5400000000009"/>
    <n v="5.2651806302843981E-2"/>
    <n v="6.5146579804560262E-2"/>
    <s v="Late"/>
    <s v="OK"/>
  </r>
  <r>
    <s v="PO-00074"/>
    <x v="0"/>
    <x v="66"/>
    <d v="2023-10-28T00:00:00"/>
    <x v="5"/>
    <x v="1"/>
    <n v="947"/>
    <n v="56.25"/>
    <n v="54.25"/>
    <n v="19"/>
    <x v="0"/>
    <n v="15"/>
    <x v="73"/>
    <n v="53268.75"/>
    <n v="1894"/>
    <n v="3.5555555555555556E-2"/>
    <n v="2.0063357972544878E-2"/>
    <s v="Late"/>
    <s v="OK"/>
  </r>
  <r>
    <s v="PO-00075"/>
    <x v="4"/>
    <x v="67"/>
    <d v="2023-01-28T00:00:00"/>
    <x v="3"/>
    <x v="1"/>
    <n v="1413"/>
    <n v="70.47"/>
    <n v="69.650000000000006"/>
    <m/>
    <x v="0"/>
    <n v="19"/>
    <x v="74"/>
    <n v="99574.11"/>
    <n v="1158.6599999999889"/>
    <n v="1.1636157230026851E-2"/>
    <n v="0"/>
    <s v="Late"/>
    <s v="OK"/>
  </r>
  <r>
    <s v="PO-00076"/>
    <x v="0"/>
    <x v="68"/>
    <m/>
    <x v="0"/>
    <x v="2"/>
    <n v="141"/>
    <n v="64.150000000000006"/>
    <n v="58.32"/>
    <m/>
    <x v="0"/>
    <s v=""/>
    <x v="75"/>
    <n v="9045.1500000000015"/>
    <n v="822.03000000000065"/>
    <n v="9.0880748246297799E-2"/>
    <n v="0"/>
    <s v="Partially Delivered"/>
    <s v="OK"/>
  </r>
  <r>
    <s v="PO-00077"/>
    <x v="0"/>
    <x v="69"/>
    <d v="2023-02-04T00:00:00"/>
    <x v="0"/>
    <x v="1"/>
    <n v="1440"/>
    <n v="96.57"/>
    <n v="83.87"/>
    <n v="36"/>
    <x v="0"/>
    <n v="20"/>
    <x v="76"/>
    <n v="139060.79999999999"/>
    <n v="18287.999999999985"/>
    <n v="0.1315108211659935"/>
    <n v="2.5000000000000001E-2"/>
    <s v="Late"/>
    <s v="OK"/>
  </r>
  <r>
    <s v="PO-00078"/>
    <x v="1"/>
    <x v="70"/>
    <d v="2023-01-03T00:00:00"/>
    <x v="3"/>
    <x v="1"/>
    <n v="1005"/>
    <n v="14.87"/>
    <n v="12.79"/>
    <m/>
    <x v="1"/>
    <n v="4"/>
    <x v="77"/>
    <n v="14944.349999999999"/>
    <n v="2090.3999999999996"/>
    <n v="0.13987895090786817"/>
    <n v="0"/>
    <s v="On Time"/>
    <s v="OK"/>
  </r>
  <r>
    <s v="PO-00079"/>
    <x v="0"/>
    <x v="71"/>
    <m/>
    <x v="1"/>
    <x v="1"/>
    <n v="1528"/>
    <n v="36.520000000000003"/>
    <n v="33"/>
    <n v="31"/>
    <x v="1"/>
    <s v=""/>
    <x v="78"/>
    <n v="55802.560000000005"/>
    <n v="5378.5600000000049"/>
    <n v="9.6385542168674773E-2"/>
    <n v="2.0287958115183247E-2"/>
    <s v="Missing Delivery Date"/>
    <s v="Missing Delivery Date"/>
  </r>
  <r>
    <s v="PO-00080"/>
    <x v="2"/>
    <x v="72"/>
    <d v="2023-11-25T00:00:00"/>
    <x v="1"/>
    <x v="1"/>
    <n v="1501"/>
    <n v="106.05"/>
    <n v="100.99"/>
    <n v="77"/>
    <x v="1"/>
    <n v="7"/>
    <x v="79"/>
    <n v="159181.04999999999"/>
    <n v="7595.0599999999977"/>
    <n v="4.7713342762847701E-2"/>
    <n v="5.1299133910726186E-2"/>
    <s v="On Time"/>
    <s v="OK"/>
  </r>
  <r>
    <s v="PO-00081"/>
    <x v="1"/>
    <x v="73"/>
    <d v="2022-10-04T00:00:00"/>
    <x v="2"/>
    <x v="1"/>
    <n v="558"/>
    <n v="94.18"/>
    <n v="81.400000000000006"/>
    <m/>
    <x v="1"/>
    <n v="3"/>
    <x v="80"/>
    <n v="52552.44"/>
    <n v="7131.239999999998"/>
    <n v="0.13569760033977485"/>
    <n v="0"/>
    <s v="On Time"/>
    <s v="OK"/>
  </r>
  <r>
    <s v="PO-00082"/>
    <x v="3"/>
    <x v="24"/>
    <d v="2023-12-26T00:00:00"/>
    <x v="1"/>
    <x v="1"/>
    <n v="825"/>
    <n v="56.88"/>
    <n v="50.84"/>
    <m/>
    <x v="0"/>
    <n v="6"/>
    <x v="81"/>
    <n v="46926"/>
    <n v="4983"/>
    <n v="0.10618846694796062"/>
    <n v="0"/>
    <s v="On Time"/>
    <s v="OK"/>
  </r>
  <r>
    <s v="PO-00083"/>
    <x v="3"/>
    <x v="74"/>
    <d v="2023-12-07T00:00:00"/>
    <x v="5"/>
    <x v="0"/>
    <n v="84"/>
    <n v="73.38"/>
    <n v="71.42"/>
    <n v="9"/>
    <x v="0"/>
    <n v="6"/>
    <x v="82"/>
    <n v="6163.92"/>
    <n v="164.64000000000033"/>
    <n v="2.6710275279367729E-2"/>
    <n v="0.10714285714285714"/>
    <s v="Cancelled"/>
    <s v="Status-Date Conflict"/>
  </r>
  <r>
    <s v="PO-00084"/>
    <x v="1"/>
    <x v="75"/>
    <d v="2023-11-10T00:00:00"/>
    <x v="3"/>
    <x v="1"/>
    <n v="255"/>
    <n v="38.64"/>
    <n v="33.590000000000003"/>
    <n v="27"/>
    <x v="1"/>
    <n v="15"/>
    <x v="83"/>
    <n v="9853.2000000000007"/>
    <n v="1287.75"/>
    <n v="0.1306935817805383"/>
    <n v="0.10588235294117647"/>
    <s v="Late"/>
    <s v="OK"/>
  </r>
  <r>
    <s v="PO-00085"/>
    <x v="2"/>
    <x v="76"/>
    <d v="2022-03-31T00:00:00"/>
    <x v="1"/>
    <x v="1"/>
    <n v="1154"/>
    <n v="27.2"/>
    <n v="26.07"/>
    <n v="58"/>
    <x v="0"/>
    <n v="16"/>
    <x v="84"/>
    <n v="31388.799999999999"/>
    <n v="1304.0200000000004"/>
    <n v="4.1544117647058836E-2"/>
    <n v="5.0259965337954939E-2"/>
    <s v="Late"/>
    <s v="OK"/>
  </r>
  <r>
    <s v="PO-00086"/>
    <x v="1"/>
    <x v="77"/>
    <d v="2023-09-24T00:00:00"/>
    <x v="0"/>
    <x v="1"/>
    <n v="1635"/>
    <n v="56.91"/>
    <n v="54.37"/>
    <n v="262"/>
    <x v="1"/>
    <n v="8"/>
    <x v="85"/>
    <n v="93047.849999999991"/>
    <n v="4152.8999999999942"/>
    <n v="4.4631874890177413E-2"/>
    <n v="0.1602446483180428"/>
    <s v="On Time"/>
    <s v="OK"/>
  </r>
  <r>
    <s v="PO-00087"/>
    <x v="1"/>
    <x v="66"/>
    <d v="2023-10-23T00:00:00"/>
    <x v="3"/>
    <x v="1"/>
    <n v="1945"/>
    <n v="46.19"/>
    <n v="40.119999999999997"/>
    <n v="278"/>
    <x v="1"/>
    <n v="10"/>
    <x v="86"/>
    <n v="89839.549999999988"/>
    <n v="11806.149999999994"/>
    <n v="0.1314137259147001"/>
    <n v="0.14293059125964011"/>
    <s v="On Time"/>
    <s v="OK"/>
  </r>
  <r>
    <s v="PO-00088"/>
    <x v="1"/>
    <x v="78"/>
    <d v="2022-07-10T00:00:00"/>
    <x v="1"/>
    <x v="2"/>
    <n v="1461"/>
    <n v="64.09"/>
    <n v="63.39"/>
    <n v="228"/>
    <x v="1"/>
    <n v="15"/>
    <x v="87"/>
    <n v="93635.49"/>
    <n v="1022.7000000000116"/>
    <n v="1.0922140739585083E-2"/>
    <n v="0.15605749486652978"/>
    <s v="Partially Delivered"/>
    <s v="Status-Date Conflict"/>
  </r>
  <r>
    <s v="PO-00089"/>
    <x v="1"/>
    <x v="79"/>
    <d v="2023-07-09T00:00:00"/>
    <x v="5"/>
    <x v="1"/>
    <n v="1075"/>
    <n v="18.53"/>
    <n v="16.12"/>
    <n v="147"/>
    <x v="0"/>
    <n v="8"/>
    <x v="88"/>
    <n v="19919.75"/>
    <n v="2590.75"/>
    <n v="0.1300593631948192"/>
    <n v="0.13674418604651162"/>
    <s v="On Time"/>
    <s v="OK"/>
  </r>
  <r>
    <s v="PO-00090"/>
    <x v="0"/>
    <x v="4"/>
    <m/>
    <x v="2"/>
    <x v="1"/>
    <n v="1071"/>
    <n v="101.6"/>
    <n v="93.91"/>
    <n v="25"/>
    <x v="0"/>
    <s v=""/>
    <x v="89"/>
    <n v="108813.59999999999"/>
    <n v="8235.9899999999907"/>
    <n v="7.5688976377952674E-2"/>
    <n v="2.3342670401493931E-2"/>
    <s v="Missing Delivery Date"/>
    <s v="Missing Delivery Date"/>
  </r>
  <r>
    <s v="PO-00091"/>
    <x v="4"/>
    <x v="80"/>
    <d v="2022-07-06T00:00:00"/>
    <x v="2"/>
    <x v="3"/>
    <n v="1463"/>
    <n v="101.23"/>
    <n v="86.17"/>
    <n v="43"/>
    <x v="0"/>
    <n v="19"/>
    <x v="90"/>
    <n v="148099.49000000002"/>
    <n v="22032.780000000013"/>
    <n v="0.14877012743257934"/>
    <n v="2.939166097060834E-2"/>
    <s v="Pending"/>
    <s v="Status-Date Conflict"/>
  </r>
  <r>
    <s v="PO-00092"/>
    <x v="3"/>
    <x v="81"/>
    <d v="2023-04-26T00:00:00"/>
    <x v="3"/>
    <x v="1"/>
    <n v="615"/>
    <n v="78.3"/>
    <n v="73.680000000000007"/>
    <n v="69"/>
    <x v="0"/>
    <n v="7"/>
    <x v="91"/>
    <n v="48154.5"/>
    <n v="2841.2999999999956"/>
    <n v="5.9003831417624428E-2"/>
    <n v="0.11219512195121951"/>
    <s v="On Time"/>
    <s v="OK"/>
  </r>
  <r>
    <s v="PO-00093"/>
    <x v="2"/>
    <x v="82"/>
    <d v="2023-02-11T00:00:00"/>
    <x v="5"/>
    <x v="1"/>
    <n v="1179"/>
    <n v="61.74"/>
    <n v="56.28"/>
    <m/>
    <x v="0"/>
    <n v="18"/>
    <x v="92"/>
    <n v="72791.460000000006"/>
    <n v="6437.3400000000111"/>
    <n v="8.8435374149660004E-2"/>
    <n v="0"/>
    <s v="Late"/>
    <s v="OK"/>
  </r>
  <r>
    <s v="PO-00094"/>
    <x v="0"/>
    <x v="83"/>
    <d v="2022-10-09T00:00:00"/>
    <x v="5"/>
    <x v="2"/>
    <n v="1845"/>
    <n v="39.56"/>
    <n v="37.630000000000003"/>
    <n v="45"/>
    <x v="0"/>
    <n v="5"/>
    <x v="93"/>
    <n v="72988.2"/>
    <n v="3560.8499999999913"/>
    <n v="4.8786653185035271E-2"/>
    <n v="2.4390243902439025E-2"/>
    <s v="Partially Delivered"/>
    <s v="Status-Date Conflict"/>
  </r>
  <r>
    <s v="PO-00095"/>
    <x v="3"/>
    <x v="84"/>
    <m/>
    <x v="5"/>
    <x v="0"/>
    <n v="1895"/>
    <n v="91.98"/>
    <n v="86.27"/>
    <n v="170"/>
    <x v="0"/>
    <s v=""/>
    <x v="94"/>
    <n v="174302.1"/>
    <n v="10820.450000000012"/>
    <n v="6.2078712763644336E-2"/>
    <n v="8.9709762532981532E-2"/>
    <s v="Cancelled"/>
    <s v="OK"/>
  </r>
  <r>
    <s v="PO-00096"/>
    <x v="4"/>
    <x v="85"/>
    <d v="2023-12-09T00:00:00"/>
    <x v="1"/>
    <x v="2"/>
    <n v="1550"/>
    <n v="79.86"/>
    <n v="69.569999999999993"/>
    <n v="32"/>
    <x v="1"/>
    <n v="3"/>
    <x v="95"/>
    <n v="123783"/>
    <n v="15949.500000000015"/>
    <n v="0.12885048835462071"/>
    <n v="2.0645161290322581E-2"/>
    <s v="Partially Delivered"/>
    <s v="Status-Date Conflict"/>
  </r>
  <r>
    <s v="PO-00097"/>
    <x v="1"/>
    <x v="86"/>
    <d v="2023-08-04T00:00:00"/>
    <x v="2"/>
    <x v="1"/>
    <n v="752"/>
    <n v="26.85"/>
    <n v="24.37"/>
    <m/>
    <x v="1"/>
    <n v="10"/>
    <x v="96"/>
    <n v="20191.2"/>
    <n v="1864.9599999999991"/>
    <n v="9.2364990689012993E-2"/>
    <n v="0"/>
    <s v="On Time"/>
    <s v="OK"/>
  </r>
  <r>
    <s v="PO-00098"/>
    <x v="4"/>
    <x v="87"/>
    <d v="2022-09-01T00:00:00"/>
    <x v="5"/>
    <x v="1"/>
    <n v="451"/>
    <n v="95.2"/>
    <n v="90.07"/>
    <n v="21"/>
    <x v="0"/>
    <n v="19"/>
    <x v="97"/>
    <n v="42935.200000000004"/>
    <n v="2313.6300000000047"/>
    <n v="5.3886554621848839E-2"/>
    <n v="4.6563192904656318E-2"/>
    <s v="Late"/>
    <s v="OK"/>
  </r>
  <r>
    <s v="PO-00099"/>
    <x v="3"/>
    <x v="88"/>
    <m/>
    <x v="0"/>
    <x v="1"/>
    <n v="779"/>
    <n v="93.69"/>
    <n v="90.92"/>
    <n v="66"/>
    <x v="0"/>
    <s v=""/>
    <x v="98"/>
    <n v="72984.509999999995"/>
    <n v="2157.8299999999872"/>
    <n v="2.9565588643398269E-2"/>
    <n v="8.4724005134788186E-2"/>
    <s v="Missing Delivery Date"/>
    <s v="Missing Delivery Date"/>
  </r>
  <r>
    <s v="PO-00100"/>
    <x v="3"/>
    <x v="89"/>
    <d v="2022-12-14T00:00:00"/>
    <x v="1"/>
    <x v="3"/>
    <n v="1629"/>
    <n v="100.26"/>
    <n v="86.44"/>
    <n v="187"/>
    <x v="1"/>
    <n v="15"/>
    <x v="99"/>
    <n v="163323.54"/>
    <n v="22512.78"/>
    <n v="0.13784161180929583"/>
    <n v="0.11479435236341314"/>
    <s v="Pending"/>
    <s v="Status-Date Conflict"/>
  </r>
  <r>
    <s v="PO-00101"/>
    <x v="0"/>
    <x v="90"/>
    <d v="2022-02-27T00:00:00"/>
    <x v="0"/>
    <x v="1"/>
    <n v="211"/>
    <n v="75.69"/>
    <n v="65.400000000000006"/>
    <n v="2"/>
    <x v="0"/>
    <n v="5"/>
    <x v="100"/>
    <n v="15970.59"/>
    <n v="2171.1899999999987"/>
    <n v="0.1359492667459373"/>
    <n v="9.4786729857819912E-3"/>
    <s v="On Time"/>
    <s v="OK"/>
  </r>
  <r>
    <s v="PO-00102"/>
    <x v="0"/>
    <x v="91"/>
    <m/>
    <x v="0"/>
    <x v="1"/>
    <n v="251"/>
    <n v="67.489999999999995"/>
    <n v="64.48"/>
    <n v="2"/>
    <x v="0"/>
    <s v=""/>
    <x v="101"/>
    <n v="16939.989999999998"/>
    <n v="755.50999999999658"/>
    <n v="4.4599199881463727E-2"/>
    <n v="7.9681274900398405E-3"/>
    <s v="Missing Delivery Date"/>
    <s v="Missing Delivery Date"/>
  </r>
  <r>
    <s v="PO-00103"/>
    <x v="2"/>
    <x v="13"/>
    <d v="2022-02-18T00:00:00"/>
    <x v="3"/>
    <x v="1"/>
    <n v="1045"/>
    <n v="47.88"/>
    <n v="44.65"/>
    <n v="69"/>
    <x v="0"/>
    <n v="16"/>
    <x v="102"/>
    <n v="50034.600000000006"/>
    <n v="3375.3500000000058"/>
    <n v="6.7460317460317568E-2"/>
    <n v="6.6028708133971298E-2"/>
    <s v="Late"/>
    <s v="OK"/>
  </r>
  <r>
    <s v="PO-00104"/>
    <x v="1"/>
    <x v="92"/>
    <d v="2022-12-10T00:00:00"/>
    <x v="1"/>
    <x v="1"/>
    <n v="319"/>
    <n v="98.64"/>
    <n v="89.15"/>
    <n v="57"/>
    <x v="0"/>
    <n v="20"/>
    <x v="103"/>
    <n v="31466.16"/>
    <n v="3027.3099999999977"/>
    <n v="9.6208434712084276E-2"/>
    <n v="0.17868338557993729"/>
    <s v="Late"/>
    <s v="OK"/>
  </r>
  <r>
    <s v="PO-00105"/>
    <x v="4"/>
    <x v="93"/>
    <d v="2023-03-01T00:00:00"/>
    <x v="0"/>
    <x v="2"/>
    <n v="1936"/>
    <n v="93.66"/>
    <n v="92.24"/>
    <n v="58"/>
    <x v="0"/>
    <n v="14"/>
    <x v="104"/>
    <n v="181325.75999999998"/>
    <n v="2749.1199999999953"/>
    <n v="1.5161221439248321E-2"/>
    <n v="2.9958677685950414E-2"/>
    <s v="Partially Delivered"/>
    <s v="Status-Date Conflict"/>
  </r>
  <r>
    <s v="PO-00106"/>
    <x v="1"/>
    <x v="94"/>
    <d v="2022-10-22T00:00:00"/>
    <x v="1"/>
    <x v="0"/>
    <n v="865"/>
    <n v="14.7"/>
    <n v="13.14"/>
    <n v="135"/>
    <x v="1"/>
    <n v="20"/>
    <x v="105"/>
    <n v="12715.5"/>
    <n v="1349.3999999999996"/>
    <n v="0.1061224489795918"/>
    <n v="0.15606936416184972"/>
    <s v="Cancelled"/>
    <s v="Status-Date Conflict"/>
  </r>
  <r>
    <s v="PO-00107"/>
    <x v="4"/>
    <x v="95"/>
    <d v="2022-03-12T00:00:00"/>
    <x v="5"/>
    <x v="1"/>
    <n v="1344"/>
    <n v="12.5"/>
    <n v="10.87"/>
    <n v="44"/>
    <x v="0"/>
    <n v="3"/>
    <x v="106"/>
    <n v="16800"/>
    <n v="2190.7200000000012"/>
    <n v="0.13040000000000007"/>
    <n v="3.273809523809524E-2"/>
    <s v="On Time"/>
    <s v="OK"/>
  </r>
  <r>
    <s v="PO-00108"/>
    <x v="1"/>
    <x v="96"/>
    <d v="2022-08-24T00:00:00"/>
    <x v="3"/>
    <x v="3"/>
    <n v="505"/>
    <n v="45.42"/>
    <n v="40.369999999999997"/>
    <n v="62"/>
    <x v="0"/>
    <n v="19"/>
    <x v="107"/>
    <n v="22937.100000000002"/>
    <n v="2550.2500000000036"/>
    <n v="0.11118450022016747"/>
    <n v="0.12277227722772277"/>
    <s v="Pending"/>
    <s v="Status-Date Conflict"/>
  </r>
  <r>
    <s v="PO-00109"/>
    <x v="3"/>
    <x v="97"/>
    <d v="2023-08-05T00:00:00"/>
    <x v="2"/>
    <x v="1"/>
    <n v="1535"/>
    <n v="90.83"/>
    <n v="78.28"/>
    <n v="151"/>
    <x v="1"/>
    <n v="1"/>
    <x v="108"/>
    <n v="139424.04999999999"/>
    <n v="19264.249999999985"/>
    <n v="0.13817020808103039"/>
    <n v="9.8371335504885998E-2"/>
    <s v="On Time"/>
    <s v="OK"/>
  </r>
  <r>
    <s v="PO-00110"/>
    <x v="3"/>
    <x v="98"/>
    <m/>
    <x v="0"/>
    <x v="1"/>
    <n v="1800"/>
    <n v="103.8"/>
    <n v="96.27"/>
    <n v="166"/>
    <x v="0"/>
    <s v=""/>
    <x v="109"/>
    <n v="186840"/>
    <n v="13554"/>
    <n v="7.2543352601156075E-2"/>
    <n v="9.2222222222222219E-2"/>
    <s v="Missing Delivery Date"/>
    <s v="Missing Delivery Date"/>
  </r>
  <r>
    <s v="PO-00111"/>
    <x v="1"/>
    <x v="99"/>
    <d v="2022-08-15T00:00:00"/>
    <x v="3"/>
    <x v="3"/>
    <n v="1325"/>
    <n v="24.36"/>
    <n v="22.75"/>
    <n v="206"/>
    <x v="0"/>
    <n v="9"/>
    <x v="110"/>
    <n v="32277"/>
    <n v="2133.25"/>
    <n v="6.6091954022988508E-2"/>
    <n v="0.15547169811320755"/>
    <s v="Pending"/>
    <s v="Status-Date Conflict"/>
  </r>
  <r>
    <s v="PO-00112"/>
    <x v="2"/>
    <x v="100"/>
    <d v="2023-11-09T00:00:00"/>
    <x v="3"/>
    <x v="1"/>
    <n v="1066"/>
    <n v="70.45"/>
    <n v="65.88"/>
    <n v="56"/>
    <x v="1"/>
    <n v="6"/>
    <x v="111"/>
    <n v="75099.7"/>
    <n v="4871.6199999999953"/>
    <n v="6.4868701206529392E-2"/>
    <n v="5.2532833020637902E-2"/>
    <s v="On Time"/>
    <s v="OK"/>
  </r>
  <r>
    <s v="PO-00113"/>
    <x v="3"/>
    <x v="101"/>
    <d v="2023-06-11T00:00:00"/>
    <x v="3"/>
    <x v="1"/>
    <n v="1775"/>
    <n v="47.82"/>
    <n v="45.86"/>
    <n v="180"/>
    <x v="0"/>
    <n v="15"/>
    <x v="112"/>
    <n v="84880.5"/>
    <n v="3479"/>
    <n v="4.0987034713508994E-2"/>
    <n v="0.10140845070422536"/>
    <s v="Late"/>
    <s v="OK"/>
  </r>
  <r>
    <s v="PO-00114"/>
    <x v="2"/>
    <x v="102"/>
    <m/>
    <x v="3"/>
    <x v="2"/>
    <n v="345"/>
    <n v="103.62"/>
    <n v="98.09"/>
    <n v="25"/>
    <x v="1"/>
    <s v=""/>
    <x v="113"/>
    <n v="35748.9"/>
    <n v="1907.8499999999985"/>
    <n v="5.3368075661069249E-2"/>
    <n v="7.2463768115942032E-2"/>
    <s v="Partially Delivered"/>
    <s v="OK"/>
  </r>
  <r>
    <s v="PO-00115"/>
    <x v="3"/>
    <x v="103"/>
    <d v="2023-11-09T00:00:00"/>
    <x v="5"/>
    <x v="1"/>
    <n v="1798"/>
    <n v="94.8"/>
    <n v="91.83"/>
    <m/>
    <x v="0"/>
    <n v="19"/>
    <x v="114"/>
    <n v="170450.4"/>
    <n v="5340.0599999999977"/>
    <n v="3.1329113924050619E-2"/>
    <n v="0"/>
    <s v="Late"/>
    <s v="OK"/>
  </r>
  <r>
    <s v="PO-00116"/>
    <x v="0"/>
    <x v="104"/>
    <d v="2023-05-01T00:00:00"/>
    <x v="1"/>
    <x v="1"/>
    <n v="769"/>
    <n v="91.86"/>
    <n v="86.55"/>
    <n v="17"/>
    <x v="0"/>
    <n v="16"/>
    <x v="115"/>
    <n v="70640.34"/>
    <n v="4083.3899999999994"/>
    <n v="5.780535597648595E-2"/>
    <n v="2.2106631989596878E-2"/>
    <s v="Late"/>
    <s v="OK"/>
  </r>
  <r>
    <s v="PO-00117"/>
    <x v="0"/>
    <x v="105"/>
    <m/>
    <x v="2"/>
    <x v="1"/>
    <n v="1822"/>
    <n v="53.23"/>
    <n v="47.49"/>
    <n v="39"/>
    <x v="0"/>
    <s v=""/>
    <x v="116"/>
    <n v="96985.06"/>
    <n v="10458.279999999999"/>
    <n v="0.10783392823595715"/>
    <n v="2.1405049396267837E-2"/>
    <s v="Missing Delivery Date"/>
    <s v="Missing Delivery Date"/>
  </r>
  <r>
    <s v="PO-00118"/>
    <x v="1"/>
    <x v="106"/>
    <d v="2022-10-13T00:00:00"/>
    <x v="2"/>
    <x v="1"/>
    <n v="387"/>
    <n v="49.23"/>
    <n v="45.41"/>
    <n v="61"/>
    <x v="0"/>
    <n v="14"/>
    <x v="117"/>
    <n v="19052.009999999998"/>
    <n v="1478.3400000000001"/>
    <n v="7.7594962421287841E-2"/>
    <n v="0.15762273901808785"/>
    <s v="Late"/>
    <s v="OK"/>
  </r>
  <r>
    <s v="PO-00119"/>
    <x v="4"/>
    <x v="6"/>
    <d v="2022-05-27T00:00:00"/>
    <x v="1"/>
    <x v="1"/>
    <n v="928"/>
    <n v="35.299999999999997"/>
    <n v="32.520000000000003"/>
    <n v="26"/>
    <x v="0"/>
    <n v="4"/>
    <x v="118"/>
    <n v="32758.399999999998"/>
    <n v="2579.8399999999965"/>
    <n v="7.8753541076487146E-2"/>
    <n v="2.8017241379310345E-2"/>
    <s v="On Time"/>
    <s v="OK"/>
  </r>
  <r>
    <s v="PO-00120"/>
    <x v="0"/>
    <x v="107"/>
    <d v="2022-09-21T00:00:00"/>
    <x v="2"/>
    <x v="2"/>
    <n v="1126"/>
    <n v="15.68"/>
    <n v="14.97"/>
    <n v="27"/>
    <x v="0"/>
    <n v="11"/>
    <x v="119"/>
    <n v="17655.68"/>
    <n v="799.45999999999913"/>
    <n v="4.5280612244897912E-2"/>
    <n v="2.3978685612788632E-2"/>
    <s v="Partially Delivered"/>
    <s v="Status-Date Conflict"/>
  </r>
  <r>
    <s v="PO-00121"/>
    <x v="3"/>
    <x v="21"/>
    <d v="2023-08-14T00:00:00"/>
    <x v="3"/>
    <x v="0"/>
    <n v="841"/>
    <n v="95.73"/>
    <n v="85.33"/>
    <n v="81"/>
    <x v="0"/>
    <n v="16"/>
    <x v="120"/>
    <n v="80508.930000000008"/>
    <n v="8746.4000000000087"/>
    <n v="0.10863888018385051"/>
    <n v="9.631391200951249E-2"/>
    <s v="Cancelled"/>
    <s v="Status-Date Conflict"/>
  </r>
  <r>
    <s v="PO-00122"/>
    <x v="3"/>
    <x v="108"/>
    <d v="2023-07-19T00:00:00"/>
    <x v="5"/>
    <x v="1"/>
    <n v="1995"/>
    <n v="90.65"/>
    <n v="77.75"/>
    <n v="206"/>
    <x v="0"/>
    <n v="13"/>
    <x v="121"/>
    <n v="180846.75"/>
    <n v="25735.5"/>
    <n v="0.14230557087699944"/>
    <n v="0.10325814536340852"/>
    <s v="Late"/>
    <s v="OK"/>
  </r>
  <r>
    <s v="PO-00123"/>
    <x v="0"/>
    <x v="109"/>
    <d v="2022-10-15T00:00:00"/>
    <x v="3"/>
    <x v="1"/>
    <n v="266"/>
    <n v="103.97"/>
    <n v="101.44"/>
    <n v="6"/>
    <x v="0"/>
    <n v="18"/>
    <x v="122"/>
    <n v="27656.02"/>
    <n v="672.97999999999956"/>
    <n v="2.4333942483408661E-2"/>
    <n v="2.2556390977443608E-2"/>
    <s v="Late"/>
    <s v="OK"/>
  </r>
  <r>
    <s v="PO-00124"/>
    <x v="0"/>
    <x v="110"/>
    <d v="2023-08-25T00:00:00"/>
    <x v="3"/>
    <x v="0"/>
    <n v="813"/>
    <n v="109.17"/>
    <n v="107.39"/>
    <n v="14"/>
    <x v="0"/>
    <n v="3"/>
    <x v="123"/>
    <n v="88755.21"/>
    <n v="1447.1399999999994"/>
    <n v="1.6304845653567823E-2"/>
    <n v="1.7220172201722016E-2"/>
    <s v="Cancelled"/>
    <s v="Status-Date Conflict"/>
  </r>
  <r>
    <s v="PO-00125"/>
    <x v="4"/>
    <x v="111"/>
    <d v="2023-03-26T00:00:00"/>
    <x v="5"/>
    <x v="1"/>
    <n v="237"/>
    <n v="64.19"/>
    <n v="59.01"/>
    <n v="7"/>
    <x v="0"/>
    <n v="11"/>
    <x v="124"/>
    <n v="15213.029999999999"/>
    <n v="1227.6599999999999"/>
    <n v="8.0697928026172303E-2"/>
    <n v="2.9535864978902954E-2"/>
    <s v="Late"/>
    <s v="OK"/>
  </r>
  <r>
    <s v="PO-00126"/>
    <x v="0"/>
    <x v="112"/>
    <d v="2023-09-03T00:00:00"/>
    <x v="0"/>
    <x v="0"/>
    <n v="429"/>
    <n v="86.73"/>
    <n v="75.09"/>
    <n v="9"/>
    <x v="0"/>
    <n v="13"/>
    <x v="125"/>
    <n v="37207.17"/>
    <n v="4993.5599999999977"/>
    <n v="0.13420961604980969"/>
    <n v="2.097902097902098E-2"/>
    <s v="Cancelled"/>
    <s v="Status-Date Conflict"/>
  </r>
  <r>
    <s v="PO-00127"/>
    <x v="1"/>
    <x v="113"/>
    <d v="2023-02-14T00:00:00"/>
    <x v="2"/>
    <x v="1"/>
    <n v="542"/>
    <n v="101.21"/>
    <n v="93.11"/>
    <n v="78"/>
    <x v="1"/>
    <n v="1"/>
    <x v="126"/>
    <n v="54855.82"/>
    <n v="4390.1999999999971"/>
    <n v="8.0031617429107749E-2"/>
    <n v="0.14391143911439114"/>
    <s v="On Time"/>
    <s v="OK"/>
  </r>
  <r>
    <s v="PO-00128"/>
    <x v="4"/>
    <x v="54"/>
    <d v="2023-01-24T00:00:00"/>
    <x v="5"/>
    <x v="1"/>
    <n v="1114"/>
    <n v="91.66"/>
    <n v="85.53"/>
    <n v="35"/>
    <x v="0"/>
    <n v="18"/>
    <x v="127"/>
    <n v="102109.23999999999"/>
    <n v="6828.8199999999924"/>
    <n v="6.68775910975343E-2"/>
    <n v="3.141831238779174E-2"/>
    <s v="Late"/>
    <s v="OK"/>
  </r>
  <r>
    <s v="PO-00129"/>
    <x v="0"/>
    <x v="87"/>
    <d v="2022-08-15T00:00:00"/>
    <x v="1"/>
    <x v="1"/>
    <n v="1230"/>
    <n v="33.39"/>
    <n v="30.85"/>
    <n v="26"/>
    <x v="0"/>
    <n v="2"/>
    <x v="128"/>
    <n v="41069.699999999997"/>
    <n v="3124.1999999999971"/>
    <n v="7.6070679844264688E-2"/>
    <n v="2.113821138211382E-2"/>
    <s v="On Time"/>
    <s v="OK"/>
  </r>
  <r>
    <s v="PO-00130"/>
    <x v="3"/>
    <x v="114"/>
    <d v="2022-06-03T00:00:00"/>
    <x v="1"/>
    <x v="1"/>
    <n v="64"/>
    <n v="51.56"/>
    <n v="50.88"/>
    <n v="5"/>
    <x v="0"/>
    <n v="12"/>
    <x v="129"/>
    <n v="3299.84"/>
    <n v="43.519999999999982"/>
    <n v="1.318851823118696E-2"/>
    <n v="7.8125E-2"/>
    <s v="Late"/>
    <s v="OK"/>
  </r>
  <r>
    <s v="PO-00131"/>
    <x v="0"/>
    <x v="115"/>
    <d v="2023-06-22T00:00:00"/>
    <x v="1"/>
    <x v="1"/>
    <n v="1886"/>
    <n v="23.46"/>
    <n v="23.18"/>
    <m/>
    <x v="0"/>
    <n v="16"/>
    <x v="130"/>
    <n v="44245.560000000005"/>
    <n v="528.08000000000902"/>
    <n v="1.193520886615536E-2"/>
    <n v="0"/>
    <s v="Late"/>
    <s v="OK"/>
  </r>
  <r>
    <s v="PO-00132"/>
    <x v="1"/>
    <x v="116"/>
    <d v="2023-05-23T00:00:00"/>
    <x v="0"/>
    <x v="1"/>
    <n v="114"/>
    <n v="103.53"/>
    <n v="101.54"/>
    <n v="14"/>
    <x v="0"/>
    <n v="2"/>
    <x v="131"/>
    <n v="11802.42"/>
    <n v="226.85999999999876"/>
    <n v="1.922148169612662E-2"/>
    <n v="0.12280701754385964"/>
    <s v="On Time"/>
    <s v="OK"/>
  </r>
  <r>
    <s v="PO-00133"/>
    <x v="1"/>
    <x v="117"/>
    <d v="2022-04-22T00:00:00"/>
    <x v="5"/>
    <x v="0"/>
    <n v="1930"/>
    <n v="65.52"/>
    <n v="56.9"/>
    <n v="282"/>
    <x v="0"/>
    <n v="18"/>
    <x v="132"/>
    <n v="126453.59999999999"/>
    <n v="16636.599999999991"/>
    <n v="0.13156288156288151"/>
    <n v="0.14611398963730571"/>
    <s v="Cancelled"/>
    <s v="Status-Date Conflict"/>
  </r>
  <r>
    <s v="PO-00134"/>
    <x v="3"/>
    <x v="118"/>
    <d v="2022-02-28T00:00:00"/>
    <x v="0"/>
    <x v="3"/>
    <n v="1912"/>
    <n v="30.73"/>
    <n v="29.82"/>
    <n v="191"/>
    <x v="0"/>
    <n v="10"/>
    <x v="133"/>
    <n v="58755.76"/>
    <n v="1739.9199999999983"/>
    <n v="2.9612756264236872E-2"/>
    <n v="9.9895397489539753E-2"/>
    <s v="Pending"/>
    <s v="Status-Date Conflict"/>
  </r>
  <r>
    <s v="PO-00135"/>
    <x v="4"/>
    <x v="119"/>
    <d v="2022-05-09T00:00:00"/>
    <x v="1"/>
    <x v="1"/>
    <n v="570"/>
    <n v="71.510000000000005"/>
    <n v="66.47"/>
    <m/>
    <x v="0"/>
    <n v="16"/>
    <x v="134"/>
    <n v="40760.700000000004"/>
    <n v="2872.8000000000029"/>
    <n v="7.0479653195357359E-2"/>
    <n v="0"/>
    <s v="Late"/>
    <s v="OK"/>
  </r>
  <r>
    <s v="PO-00136"/>
    <x v="3"/>
    <x v="120"/>
    <d v="2022-06-26T00:00:00"/>
    <x v="3"/>
    <x v="1"/>
    <n v="1417"/>
    <n v="67.27"/>
    <n v="60.62"/>
    <m/>
    <x v="0"/>
    <n v="20"/>
    <x v="135"/>
    <n v="95321.59"/>
    <n v="9423.0500000000029"/>
    <n v="9.8855359001040616E-2"/>
    <n v="0"/>
    <s v="Late"/>
    <s v="OK"/>
  </r>
  <r>
    <s v="PO-00137"/>
    <x v="0"/>
    <x v="121"/>
    <d v="2023-10-11T00:00:00"/>
    <x v="3"/>
    <x v="1"/>
    <n v="1202"/>
    <n v="46.67"/>
    <n v="44.13"/>
    <n v="21"/>
    <x v="1"/>
    <n v="6"/>
    <x v="136"/>
    <n v="56097.340000000004"/>
    <n v="3053.0800000000017"/>
    <n v="5.4424683951146371E-2"/>
    <n v="1.747088186356073E-2"/>
    <s v="On Time"/>
    <s v="OK"/>
  </r>
  <r>
    <s v="PO-00138"/>
    <x v="3"/>
    <x v="31"/>
    <d v="2022-06-14T00:00:00"/>
    <x v="0"/>
    <x v="1"/>
    <n v="697"/>
    <n v="20.73"/>
    <n v="19.829999999999998"/>
    <n v="78"/>
    <x v="1"/>
    <n v="1"/>
    <x v="137"/>
    <n v="14448.81"/>
    <n v="627.30000000000109"/>
    <n v="4.3415340086830755E-2"/>
    <n v="0.11190817790530846"/>
    <s v="On Time"/>
    <s v="OK"/>
  </r>
  <r>
    <s v="PO-00139"/>
    <x v="4"/>
    <x v="122"/>
    <d v="2023-12-01T00:00:00"/>
    <x v="1"/>
    <x v="1"/>
    <n v="1545"/>
    <n v="78.19"/>
    <n v="76.91"/>
    <n v="42"/>
    <x v="0"/>
    <n v="3"/>
    <x v="138"/>
    <n v="120803.55"/>
    <n v="1977.6000000000058"/>
    <n v="1.6370379843969864E-2"/>
    <n v="2.7184466019417475E-2"/>
    <s v="On Time"/>
    <s v="OK"/>
  </r>
  <r>
    <s v="PO-00140"/>
    <x v="2"/>
    <x v="12"/>
    <d v="2023-03-13T00:00:00"/>
    <x v="1"/>
    <x v="2"/>
    <n v="1136"/>
    <n v="60.81"/>
    <n v="58.25"/>
    <n v="62"/>
    <x v="0"/>
    <n v="4"/>
    <x v="139"/>
    <n v="69080.160000000003"/>
    <n v="2908.1600000000035"/>
    <n v="4.2098339088965681E-2"/>
    <n v="5.4577464788732391E-2"/>
    <s v="Partially Delivered"/>
    <s v="Status-Date Conflict"/>
  </r>
  <r>
    <s v="PO-00141"/>
    <x v="3"/>
    <x v="123"/>
    <d v="2023-09-07T00:00:00"/>
    <x v="1"/>
    <x v="1"/>
    <n v="1212"/>
    <n v="87.46"/>
    <n v="74.55"/>
    <n v="118"/>
    <x v="1"/>
    <n v="4"/>
    <x v="140"/>
    <n v="106001.51999999999"/>
    <n v="15646.919999999998"/>
    <n v="0.14761033615367025"/>
    <n v="9.7359735973597358E-2"/>
    <s v="On Time"/>
    <s v="OK"/>
  </r>
  <r>
    <s v="PO-00142"/>
    <x v="4"/>
    <x v="124"/>
    <d v="2022-03-12T00:00:00"/>
    <x v="1"/>
    <x v="1"/>
    <n v="1572"/>
    <n v="57.38"/>
    <n v="49.32"/>
    <n v="40"/>
    <x v="0"/>
    <n v="5"/>
    <x v="141"/>
    <n v="90201.36"/>
    <n v="12670.320000000007"/>
    <n v="0.14046706169397011"/>
    <n v="2.5445292620865138E-2"/>
    <s v="On Time"/>
    <s v="OK"/>
  </r>
  <r>
    <s v="PO-00143"/>
    <x v="2"/>
    <x v="125"/>
    <d v="2023-02-09T00:00:00"/>
    <x v="5"/>
    <x v="1"/>
    <n v="642"/>
    <n v="91.9"/>
    <n v="81.489999999999995"/>
    <n v="26"/>
    <x v="0"/>
    <n v="10"/>
    <x v="142"/>
    <n v="58999.8"/>
    <n v="6683.2200000000084"/>
    <n v="0.11327529923830264"/>
    <n v="4.0498442367601244E-2"/>
    <s v="On Time"/>
    <s v="OK"/>
  </r>
  <r>
    <s v="PO-00144"/>
    <x v="4"/>
    <x v="126"/>
    <d v="2023-02-04T00:00:00"/>
    <x v="0"/>
    <x v="1"/>
    <n v="441"/>
    <n v="63.25"/>
    <n v="54.12"/>
    <n v="16"/>
    <x v="0"/>
    <n v="9"/>
    <x v="143"/>
    <n v="27893.25"/>
    <n v="4026.3300000000017"/>
    <n v="0.14434782608695659"/>
    <n v="3.6281179138321996E-2"/>
    <s v="On Time"/>
    <s v="OK"/>
  </r>
  <r>
    <s v="PO-00145"/>
    <x v="4"/>
    <x v="123"/>
    <d v="2023-09-19T00:00:00"/>
    <x v="0"/>
    <x v="1"/>
    <n v="1748"/>
    <n v="66.53"/>
    <n v="57.11"/>
    <m/>
    <x v="0"/>
    <n v="16"/>
    <x v="144"/>
    <n v="116294.44"/>
    <n v="16466.160000000003"/>
    <n v="0.14159026003306782"/>
    <n v="0"/>
    <s v="Late"/>
    <s v="OK"/>
  </r>
  <r>
    <s v="PO-00146"/>
    <x v="2"/>
    <x v="127"/>
    <m/>
    <x v="5"/>
    <x v="3"/>
    <n v="468"/>
    <n v="95.57"/>
    <n v="91.8"/>
    <n v="24"/>
    <x v="0"/>
    <s v=""/>
    <x v="145"/>
    <n v="44726.759999999995"/>
    <n v="1764.3599999999933"/>
    <n v="3.9447525374071216E-2"/>
    <n v="5.128205128205128E-2"/>
    <s v="Pending"/>
    <s v="OK"/>
  </r>
  <r>
    <s v="PO-00147"/>
    <x v="3"/>
    <x v="128"/>
    <d v="2023-07-14T00:00:00"/>
    <x v="3"/>
    <x v="1"/>
    <n v="338"/>
    <n v="50.25"/>
    <n v="46.28"/>
    <n v="49"/>
    <x v="1"/>
    <n v="18"/>
    <x v="146"/>
    <n v="16984.5"/>
    <n v="1341.8599999999988"/>
    <n v="7.9004975124378041E-2"/>
    <n v="0.14497041420118342"/>
    <s v="Late"/>
    <s v="OK"/>
  </r>
  <r>
    <s v="PO-00148"/>
    <x v="2"/>
    <x v="129"/>
    <d v="2022-09-22T00:00:00"/>
    <x v="0"/>
    <x v="1"/>
    <n v="428"/>
    <n v="22.94"/>
    <n v="21.52"/>
    <n v="26"/>
    <x v="0"/>
    <n v="7"/>
    <x v="147"/>
    <n v="9818.32"/>
    <n v="607.76000000000022"/>
    <n v="6.1900610287707089E-2"/>
    <n v="6.0747663551401869E-2"/>
    <s v="On Time"/>
    <s v="OK"/>
  </r>
  <r>
    <s v="PO-00149"/>
    <x v="3"/>
    <x v="130"/>
    <m/>
    <x v="2"/>
    <x v="1"/>
    <n v="1846"/>
    <n v="13.72"/>
    <n v="12.62"/>
    <n v="216"/>
    <x v="0"/>
    <s v=""/>
    <x v="148"/>
    <n v="25327.120000000003"/>
    <n v="2030.6000000000058"/>
    <n v="8.0174927113702846E-2"/>
    <n v="0.11700975081256772"/>
    <s v="Missing Delivery Date"/>
    <s v="Missing Delivery Date"/>
  </r>
  <r>
    <s v="PO-00150"/>
    <x v="4"/>
    <x v="131"/>
    <d v="2022-01-17T00:00:00"/>
    <x v="0"/>
    <x v="1"/>
    <n v="1563"/>
    <n v="77.959999999999994"/>
    <n v="70.8"/>
    <n v="41"/>
    <x v="0"/>
    <n v="5"/>
    <x v="149"/>
    <n v="121851.48"/>
    <n v="11191.080000000002"/>
    <n v="9.1841970241149332E-2"/>
    <n v="2.6231605886116442E-2"/>
    <s v="On Time"/>
    <s v="OK"/>
  </r>
  <r>
    <s v="PO-00151"/>
    <x v="3"/>
    <x v="122"/>
    <d v="2023-12-07T00:00:00"/>
    <x v="0"/>
    <x v="1"/>
    <n v="280"/>
    <n v="73.069999999999993"/>
    <n v="69.290000000000006"/>
    <n v="30"/>
    <x v="0"/>
    <n v="9"/>
    <x v="150"/>
    <n v="20459.599999999999"/>
    <n v="1058.3999999999978"/>
    <n v="5.1731216641576469E-2"/>
    <n v="0.10714285714285714"/>
    <s v="On Time"/>
    <s v="OK"/>
  </r>
  <r>
    <s v="PO-00152"/>
    <x v="1"/>
    <x v="132"/>
    <d v="2022-05-12T00:00:00"/>
    <x v="3"/>
    <x v="1"/>
    <n v="1067"/>
    <n v="74.47"/>
    <n v="64.16"/>
    <m/>
    <x v="1"/>
    <n v="14"/>
    <x v="151"/>
    <n v="79459.490000000005"/>
    <n v="11000.770000000004"/>
    <n v="0.13844501141399226"/>
    <n v="0"/>
    <s v="Late"/>
    <s v="OK"/>
  </r>
  <r>
    <s v="PO-00153"/>
    <x v="2"/>
    <x v="133"/>
    <d v="2023-12-17T00:00:00"/>
    <x v="5"/>
    <x v="3"/>
    <n v="90"/>
    <n v="32.380000000000003"/>
    <n v="29.96"/>
    <n v="7"/>
    <x v="0"/>
    <n v="17"/>
    <x v="152"/>
    <n v="2914.2000000000003"/>
    <n v="217.80000000000018"/>
    <n v="7.4737492279184733E-2"/>
    <n v="7.7777777777777779E-2"/>
    <s v="Pending"/>
    <s v="Status-Date Conflict"/>
  </r>
  <r>
    <s v="PO-00154"/>
    <x v="2"/>
    <x v="46"/>
    <d v="2023-07-05T00:00:00"/>
    <x v="3"/>
    <x v="1"/>
    <n v="1101"/>
    <n v="24.28"/>
    <n v="22.73"/>
    <n v="59"/>
    <x v="1"/>
    <n v="1"/>
    <x v="153"/>
    <n v="26732.280000000002"/>
    <n v="1706.5500000000029"/>
    <n v="6.3838550247117071E-2"/>
    <n v="5.3587647593097185E-2"/>
    <s v="On Time"/>
    <s v="OK"/>
  </r>
  <r>
    <s v="PO-00155"/>
    <x v="0"/>
    <x v="73"/>
    <d v="2022-10-11T00:00:00"/>
    <x v="3"/>
    <x v="1"/>
    <n v="184"/>
    <n v="11.82"/>
    <n v="10.51"/>
    <n v="4"/>
    <x v="0"/>
    <n v="10"/>
    <x v="154"/>
    <n v="2174.88"/>
    <n v="241.04000000000019"/>
    <n v="0.1108291032148901"/>
    <n v="2.1739130434782608E-2"/>
    <s v="On Time"/>
    <s v="OK"/>
  </r>
  <r>
    <s v="PO-00156"/>
    <x v="4"/>
    <x v="134"/>
    <d v="2023-11-07T00:00:00"/>
    <x v="5"/>
    <x v="1"/>
    <n v="250"/>
    <n v="45.92"/>
    <n v="41.02"/>
    <n v="3"/>
    <x v="0"/>
    <n v="19"/>
    <x v="155"/>
    <n v="11480"/>
    <n v="1225"/>
    <n v="0.10670731707317073"/>
    <n v="1.2E-2"/>
    <s v="Late"/>
    <s v="OK"/>
  </r>
  <r>
    <s v="PO-00157"/>
    <x v="4"/>
    <x v="33"/>
    <m/>
    <x v="2"/>
    <x v="0"/>
    <n v="1913"/>
    <n v="66.56"/>
    <n v="61.34"/>
    <n v="61"/>
    <x v="0"/>
    <s v=""/>
    <x v="156"/>
    <n v="127329.28"/>
    <n v="9985.859999999986"/>
    <n v="7.8425480769230657E-2"/>
    <n v="3.1887088342916883E-2"/>
    <s v="Cancelled"/>
    <s v="OK"/>
  </r>
  <r>
    <s v="PO-00158"/>
    <x v="3"/>
    <x v="1"/>
    <d v="2022-04-30T00:00:00"/>
    <x v="5"/>
    <x v="1"/>
    <n v="829"/>
    <n v="45.98"/>
    <n v="40.39"/>
    <m/>
    <x v="0"/>
    <n v="5"/>
    <x v="157"/>
    <n v="38117.42"/>
    <n v="4634.1100000000006"/>
    <n v="0.12157459765115269"/>
    <n v="0"/>
    <s v="On Time"/>
    <s v="OK"/>
  </r>
  <r>
    <s v="PO-00159"/>
    <x v="1"/>
    <x v="51"/>
    <d v="2022-11-13T00:00:00"/>
    <x v="3"/>
    <x v="1"/>
    <n v="979"/>
    <n v="51.59"/>
    <n v="49.69"/>
    <n v="148"/>
    <x v="0"/>
    <n v="16"/>
    <x v="158"/>
    <n v="50506.61"/>
    <n v="1860.1000000000058"/>
    <n v="3.6828842798992165E-2"/>
    <n v="0.15117466802860061"/>
    <s v="Late"/>
    <s v="OK"/>
  </r>
  <r>
    <s v="PO-00160"/>
    <x v="4"/>
    <x v="135"/>
    <d v="2023-04-09T00:00:00"/>
    <x v="5"/>
    <x v="2"/>
    <n v="1106"/>
    <n v="97.77"/>
    <n v="90.45"/>
    <n v="31"/>
    <x v="0"/>
    <n v="18"/>
    <x v="159"/>
    <n v="108133.62"/>
    <n v="8095.9199999999983"/>
    <n v="7.4869591899355617E-2"/>
    <n v="2.8028933092224231E-2"/>
    <s v="Partially Delivered"/>
    <s v="Status-Date Conflict"/>
  </r>
  <r>
    <s v="PO-00161"/>
    <x v="1"/>
    <x v="136"/>
    <d v="2022-06-24T00:00:00"/>
    <x v="0"/>
    <x v="3"/>
    <n v="1121"/>
    <n v="42.38"/>
    <n v="38.340000000000003"/>
    <n v="152"/>
    <x v="0"/>
    <n v="13"/>
    <x v="160"/>
    <n v="47507.98"/>
    <n v="4528.8399999999965"/>
    <n v="9.5327984898536972E-2"/>
    <n v="0.13559322033898305"/>
    <s v="Pending"/>
    <s v="Status-Date Conflict"/>
  </r>
  <r>
    <s v="PO-00162"/>
    <x v="0"/>
    <x v="65"/>
    <d v="2023-04-21T00:00:00"/>
    <x v="0"/>
    <x v="1"/>
    <n v="552"/>
    <n v="60.48"/>
    <n v="56.78"/>
    <n v="10"/>
    <x v="0"/>
    <n v="11"/>
    <x v="161"/>
    <n v="33384.959999999999"/>
    <n v="2042.3999999999978"/>
    <n v="6.1177248677248615E-2"/>
    <n v="1.8115942028985508E-2"/>
    <s v="Late"/>
    <s v="OK"/>
  </r>
  <r>
    <s v="PO-00163"/>
    <x v="2"/>
    <x v="137"/>
    <d v="2022-01-12T00:00:00"/>
    <x v="2"/>
    <x v="1"/>
    <n v="456"/>
    <n v="80.53"/>
    <n v="77.86"/>
    <n v="26"/>
    <x v="0"/>
    <n v="8"/>
    <x v="162"/>
    <n v="36721.68"/>
    <n v="1217.5200000000041"/>
    <n v="3.3155345833850852E-2"/>
    <n v="5.701754385964912E-2"/>
    <s v="On Time"/>
    <s v="OK"/>
  </r>
  <r>
    <s v="PO-00164"/>
    <x v="1"/>
    <x v="109"/>
    <d v="2022-10-05T00:00:00"/>
    <x v="2"/>
    <x v="1"/>
    <n v="1647"/>
    <n v="47.52"/>
    <n v="44.92"/>
    <m/>
    <x v="0"/>
    <n v="8"/>
    <x v="163"/>
    <n v="78265.440000000002"/>
    <n v="4282.1999999999971"/>
    <n v="5.4713804713804673E-2"/>
    <n v="0"/>
    <s v="On Time"/>
    <s v="OK"/>
  </r>
  <r>
    <s v="PO-00165"/>
    <x v="4"/>
    <x v="138"/>
    <d v="2023-06-11T00:00:00"/>
    <x v="5"/>
    <x v="3"/>
    <n v="1801"/>
    <n v="71.27"/>
    <n v="61.24"/>
    <n v="43"/>
    <x v="0"/>
    <n v="14"/>
    <x v="164"/>
    <n v="128357.26999999999"/>
    <n v="18064.029999999984"/>
    <n v="0.14073242598568811"/>
    <n v="2.3875624652970572E-2"/>
    <s v="Pending"/>
    <s v="Status-Date Conflict"/>
  </r>
  <r>
    <s v="PO-00166"/>
    <x v="2"/>
    <x v="139"/>
    <d v="2022-07-18T00:00:00"/>
    <x v="5"/>
    <x v="1"/>
    <n v="854"/>
    <n v="90.24"/>
    <n v="85.53"/>
    <m/>
    <x v="0"/>
    <n v="16"/>
    <x v="165"/>
    <n v="77064.959999999992"/>
    <n v="4022.3399999999965"/>
    <n v="5.2194148936170172E-2"/>
    <n v="0"/>
    <s v="Late"/>
    <s v="OK"/>
  </r>
  <r>
    <s v="PO-00167"/>
    <x v="1"/>
    <x v="140"/>
    <d v="2023-06-17T00:00:00"/>
    <x v="5"/>
    <x v="1"/>
    <n v="148"/>
    <n v="103.57"/>
    <n v="98.62"/>
    <n v="23"/>
    <x v="1"/>
    <n v="13"/>
    <x v="166"/>
    <n v="15328.359999999999"/>
    <n v="732.59999999999854"/>
    <n v="4.7793762672588495E-2"/>
    <n v="0.1554054054054054"/>
    <s v="Late"/>
    <s v="OK"/>
  </r>
  <r>
    <s v="PO-00168"/>
    <x v="1"/>
    <x v="141"/>
    <d v="2022-04-24T00:00:00"/>
    <x v="1"/>
    <x v="1"/>
    <n v="733"/>
    <n v="23.59"/>
    <n v="22.85"/>
    <n v="92"/>
    <x v="0"/>
    <n v="5"/>
    <x v="167"/>
    <n v="17291.47"/>
    <n v="542.42000000000189"/>
    <n v="3.1369224247562631E-2"/>
    <n v="0.12551159618008187"/>
    <s v="On Time"/>
    <s v="OK"/>
  </r>
  <r>
    <s v="PO-00169"/>
    <x v="3"/>
    <x v="142"/>
    <d v="2023-10-05T00:00:00"/>
    <x v="3"/>
    <x v="1"/>
    <n v="1945"/>
    <n v="103.2"/>
    <n v="88.56"/>
    <m/>
    <x v="0"/>
    <n v="2"/>
    <x v="168"/>
    <n v="200724"/>
    <n v="28474.799999999988"/>
    <n v="0.14186046511627901"/>
    <n v="0"/>
    <s v="On Time"/>
    <s v="OK"/>
  </r>
  <r>
    <s v="PO-00170"/>
    <x v="2"/>
    <x v="143"/>
    <d v="2022-11-21T00:00:00"/>
    <x v="3"/>
    <x v="1"/>
    <n v="775"/>
    <n v="57"/>
    <n v="49.14"/>
    <n v="48"/>
    <x v="0"/>
    <n v="19"/>
    <x v="169"/>
    <n v="44175"/>
    <n v="6091.5"/>
    <n v="0.13789473684210526"/>
    <n v="6.1935483870967742E-2"/>
    <s v="Late"/>
    <s v="OK"/>
  </r>
  <r>
    <s v="PO-00171"/>
    <x v="1"/>
    <x v="0"/>
    <d v="2023-10-21T00:00:00"/>
    <x v="2"/>
    <x v="1"/>
    <n v="1620"/>
    <n v="36.729999999999997"/>
    <n v="33.450000000000003"/>
    <n v="235"/>
    <x v="1"/>
    <n v="4"/>
    <x v="170"/>
    <n v="59502.6"/>
    <n v="5313.5999999999913"/>
    <n v="8.9300299482711537E-2"/>
    <n v="0.14506172839506173"/>
    <s v="On Time"/>
    <s v="OK"/>
  </r>
  <r>
    <s v="PO-00172"/>
    <x v="3"/>
    <x v="140"/>
    <d v="2023-06-19T00:00:00"/>
    <x v="0"/>
    <x v="1"/>
    <n v="1010"/>
    <n v="55.68"/>
    <n v="50.86"/>
    <m/>
    <x v="0"/>
    <n v="15"/>
    <x v="171"/>
    <n v="56236.800000000003"/>
    <n v="4868.2000000000044"/>
    <n v="8.6566091954023067E-2"/>
    <n v="0"/>
    <s v="Late"/>
    <s v="OK"/>
  </r>
  <r>
    <s v="PO-00173"/>
    <x v="4"/>
    <x v="77"/>
    <d v="2023-10-01T00:00:00"/>
    <x v="0"/>
    <x v="1"/>
    <n v="1812"/>
    <n v="108.02"/>
    <n v="101.02"/>
    <n v="51"/>
    <x v="0"/>
    <n v="15"/>
    <x v="172"/>
    <n v="195732.24"/>
    <n v="12684"/>
    <n v="6.4802814293649327E-2"/>
    <n v="2.8145695364238412E-2"/>
    <s v="Late"/>
    <s v="OK"/>
  </r>
  <r>
    <s v="PO-00174"/>
    <x v="1"/>
    <x v="22"/>
    <d v="2022-07-28T00:00:00"/>
    <x v="0"/>
    <x v="1"/>
    <n v="662"/>
    <n v="55.97"/>
    <n v="50"/>
    <n v="100"/>
    <x v="0"/>
    <n v="5"/>
    <x v="173"/>
    <n v="37052.14"/>
    <n v="3952.1399999999994"/>
    <n v="0.10666428443809182"/>
    <n v="0.15105740181268881"/>
    <s v="On Time"/>
    <s v="OK"/>
  </r>
  <r>
    <s v="PO-00175"/>
    <x v="3"/>
    <x v="120"/>
    <d v="2022-06-11T00:00:00"/>
    <x v="0"/>
    <x v="3"/>
    <n v="1535"/>
    <n v="40.58"/>
    <n v="38.71"/>
    <n v="165"/>
    <x v="0"/>
    <n v="5"/>
    <x v="174"/>
    <n v="62290.299999999996"/>
    <n v="2870.4499999999971"/>
    <n v="4.6081813701330659E-2"/>
    <n v="0.10749185667752444"/>
    <s v="Pending"/>
    <s v="Status-Date Conflict"/>
  </r>
  <r>
    <s v="PO-00176"/>
    <x v="3"/>
    <x v="144"/>
    <d v="2023-01-27T00:00:00"/>
    <x v="3"/>
    <x v="1"/>
    <n v="692"/>
    <n v="71.03"/>
    <n v="67.739999999999995"/>
    <n v="70"/>
    <x v="0"/>
    <n v="9"/>
    <x v="175"/>
    <n v="49152.76"/>
    <n v="2276.6800000000076"/>
    <n v="4.6318456990004378E-2"/>
    <n v="0.10115606936416185"/>
    <s v="On Time"/>
    <s v="OK"/>
  </r>
  <r>
    <s v="PO-00177"/>
    <x v="2"/>
    <x v="145"/>
    <d v="2022-06-28T00:00:00"/>
    <x v="1"/>
    <x v="1"/>
    <n v="1842"/>
    <n v="32.4"/>
    <n v="28.08"/>
    <n v="96"/>
    <x v="0"/>
    <n v="13"/>
    <x v="176"/>
    <n v="59680.799999999996"/>
    <n v="7957.4400000000023"/>
    <n v="0.13333333333333339"/>
    <n v="5.2117263843648211E-2"/>
    <s v="Late"/>
    <s v="OK"/>
  </r>
  <r>
    <s v="PO-00178"/>
    <x v="3"/>
    <x v="146"/>
    <d v="2023-07-18T00:00:00"/>
    <x v="0"/>
    <x v="0"/>
    <n v="1078"/>
    <n v="18.34"/>
    <n v="17.41"/>
    <n v="102"/>
    <x v="0"/>
    <n v="11"/>
    <x v="177"/>
    <n v="19770.52"/>
    <n v="1002.5400000000009"/>
    <n v="5.0708833151581284E-2"/>
    <n v="9.4619666048237475E-2"/>
    <s v="Cancelled"/>
    <s v="Status-Date Conflict"/>
  </r>
  <r>
    <s v="PO-00179"/>
    <x v="1"/>
    <x v="147"/>
    <d v="2023-07-16T00:00:00"/>
    <x v="2"/>
    <x v="1"/>
    <n v="1291"/>
    <n v="23.44"/>
    <n v="22.23"/>
    <m/>
    <x v="0"/>
    <n v="18"/>
    <x v="178"/>
    <n v="30261.040000000001"/>
    <n v="1562.1100000000006"/>
    <n v="5.1621160409556333E-2"/>
    <n v="0"/>
    <s v="Late"/>
    <s v="OK"/>
  </r>
  <r>
    <s v="PO-00180"/>
    <x v="0"/>
    <x v="148"/>
    <d v="2022-01-12T00:00:00"/>
    <x v="5"/>
    <x v="1"/>
    <n v="552"/>
    <n v="21.52"/>
    <n v="18.79"/>
    <n v="13"/>
    <x v="0"/>
    <n v="11"/>
    <x v="179"/>
    <n v="11879.039999999999"/>
    <n v="1506.9599999999991"/>
    <n v="0.1268587360594795"/>
    <n v="2.355072463768116E-2"/>
    <s v="Late"/>
    <s v="OK"/>
  </r>
  <r>
    <s v="PO-00181"/>
    <x v="4"/>
    <x v="149"/>
    <d v="2023-09-22T00:00:00"/>
    <x v="5"/>
    <x v="1"/>
    <n v="816"/>
    <n v="26.04"/>
    <n v="25.61"/>
    <n v="28"/>
    <x v="0"/>
    <n v="16"/>
    <x v="180"/>
    <n v="21248.639999999999"/>
    <n v="350.88000000000102"/>
    <n v="1.651305683563753E-2"/>
    <n v="3.4313725490196081E-2"/>
    <s v="Late"/>
    <s v="OK"/>
  </r>
  <r>
    <s v="PO-00182"/>
    <x v="1"/>
    <x v="150"/>
    <d v="2022-11-30T00:00:00"/>
    <x v="2"/>
    <x v="1"/>
    <n v="447"/>
    <n v="23.62"/>
    <n v="21.81"/>
    <n v="50"/>
    <x v="0"/>
    <n v="2"/>
    <x v="181"/>
    <n v="10558.140000000001"/>
    <n v="809.07000000000153"/>
    <n v="7.6629974597798606E-2"/>
    <n v="0.11185682326621924"/>
    <s v="On Time"/>
    <s v="OK"/>
  </r>
  <r>
    <s v="PO-00183"/>
    <x v="1"/>
    <x v="151"/>
    <d v="2023-05-24T00:00:00"/>
    <x v="2"/>
    <x v="2"/>
    <n v="920"/>
    <n v="73.09"/>
    <n v="70.14"/>
    <m/>
    <x v="0"/>
    <n v="8"/>
    <x v="182"/>
    <n v="67242.8"/>
    <n v="2714"/>
    <n v="4.0361198522369676E-2"/>
    <n v="0"/>
    <s v="Partially Delivered"/>
    <s v="Status-Date Conflict"/>
  </r>
  <r>
    <s v="PO-00184"/>
    <x v="4"/>
    <x v="152"/>
    <d v="2022-01-30T00:00:00"/>
    <x v="2"/>
    <x v="2"/>
    <n v="844"/>
    <n v="26.37"/>
    <n v="25.08"/>
    <n v="38"/>
    <x v="0"/>
    <n v="10"/>
    <x v="183"/>
    <n v="22256.280000000002"/>
    <n v="1088.7600000000057"/>
    <n v="4.8919226393629375E-2"/>
    <n v="4.5023696682464455E-2"/>
    <s v="Partially Delivered"/>
    <s v="Status-Date Conflict"/>
  </r>
  <r>
    <s v="PO-00185"/>
    <x v="4"/>
    <x v="1"/>
    <m/>
    <x v="1"/>
    <x v="1"/>
    <n v="442"/>
    <n v="41.73"/>
    <n v="36.450000000000003"/>
    <n v="15"/>
    <x v="0"/>
    <s v=""/>
    <x v="184"/>
    <n v="18444.66"/>
    <n v="2333.7599999999984"/>
    <n v="0.126527677929547"/>
    <n v="3.3936651583710405E-2"/>
    <s v="Missing Delivery Date"/>
    <s v="Missing Delivery Date"/>
  </r>
  <r>
    <s v="PO-00186"/>
    <x v="3"/>
    <x v="153"/>
    <d v="2023-01-21T00:00:00"/>
    <x v="5"/>
    <x v="0"/>
    <n v="256"/>
    <n v="96.15"/>
    <n v="83.44"/>
    <n v="26"/>
    <x v="0"/>
    <n v="14"/>
    <x v="185"/>
    <n v="24614.400000000001"/>
    <n v="3253.760000000002"/>
    <n v="0.13218928757150294"/>
    <n v="0.1015625"/>
    <s v="Cancelled"/>
    <s v="Status-Date Conflict"/>
  </r>
  <r>
    <s v="PO-00187"/>
    <x v="1"/>
    <x v="154"/>
    <m/>
    <x v="1"/>
    <x v="2"/>
    <n v="1088"/>
    <n v="55.29"/>
    <n v="53.04"/>
    <n v="161"/>
    <x v="1"/>
    <s v=""/>
    <x v="186"/>
    <n v="60155.519999999997"/>
    <n v="2448"/>
    <n v="4.0694519804666304E-2"/>
    <n v="0.14797794117647059"/>
    <s v="Partially Delivered"/>
    <s v="OK"/>
  </r>
  <r>
    <s v="PO-00188"/>
    <x v="3"/>
    <x v="155"/>
    <d v="2022-09-07T00:00:00"/>
    <x v="0"/>
    <x v="1"/>
    <n v="1931"/>
    <n v="72.88"/>
    <n v="64.69"/>
    <n v="187"/>
    <x v="0"/>
    <n v="4"/>
    <x v="187"/>
    <n v="140731.28"/>
    <n v="15814.89"/>
    <n v="0.11237650933040615"/>
    <n v="9.6841015018125323E-2"/>
    <s v="On Time"/>
    <s v="OK"/>
  </r>
  <r>
    <s v="PO-00189"/>
    <x v="2"/>
    <x v="156"/>
    <d v="2022-03-11T00:00:00"/>
    <x v="5"/>
    <x v="1"/>
    <n v="1627"/>
    <n v="25.76"/>
    <n v="25.09"/>
    <n v="74"/>
    <x v="0"/>
    <n v="10"/>
    <x v="188"/>
    <n v="41911.520000000004"/>
    <n v="1090.0900000000038"/>
    <n v="2.6009316770186423E-2"/>
    <n v="4.5482483097725873E-2"/>
    <s v="On Time"/>
    <s v="OK"/>
  </r>
  <r>
    <s v="PO-00190"/>
    <x v="3"/>
    <x v="157"/>
    <m/>
    <x v="2"/>
    <x v="1"/>
    <n v="941"/>
    <n v="28.4"/>
    <n v="27.21"/>
    <m/>
    <x v="1"/>
    <s v=""/>
    <x v="189"/>
    <n v="26724.399999999998"/>
    <n v="1119.7899999999972"/>
    <n v="4.1901408450704128E-2"/>
    <n v="0"/>
    <s v="Missing Delivery Date"/>
    <s v="Missing Delivery Date"/>
  </r>
  <r>
    <s v="PO-00191"/>
    <x v="2"/>
    <x v="97"/>
    <d v="2023-08-06T00:00:00"/>
    <x v="1"/>
    <x v="1"/>
    <n v="1534"/>
    <n v="14.98"/>
    <n v="12.79"/>
    <m/>
    <x v="0"/>
    <n v="2"/>
    <x v="190"/>
    <n v="22979.32"/>
    <n v="3359.4600000000028"/>
    <n v="0.14619492656875846"/>
    <n v="0"/>
    <s v="On Time"/>
    <s v="OK"/>
  </r>
  <r>
    <s v="PO-00192"/>
    <x v="0"/>
    <x v="49"/>
    <d v="2022-04-03T00:00:00"/>
    <x v="3"/>
    <x v="1"/>
    <n v="1764"/>
    <n v="25.46"/>
    <n v="24.52"/>
    <n v="46"/>
    <x v="0"/>
    <n v="12"/>
    <x v="191"/>
    <n v="44911.44"/>
    <n v="1658.1600000000035"/>
    <n v="3.6920659858601802E-2"/>
    <n v="2.6077097505668934E-2"/>
    <s v="Late"/>
    <s v="OK"/>
  </r>
  <r>
    <s v="PO-00193"/>
    <x v="1"/>
    <x v="158"/>
    <d v="2022-04-06T00:00:00"/>
    <x v="5"/>
    <x v="1"/>
    <n v="1648"/>
    <n v="35.42"/>
    <n v="31.46"/>
    <m/>
    <x v="1"/>
    <n v="8"/>
    <x v="192"/>
    <n v="58372.160000000003"/>
    <n v="6526.0800000000017"/>
    <n v="0.11180124223602486"/>
    <n v="0"/>
    <s v="On Time"/>
    <s v="OK"/>
  </r>
  <r>
    <s v="PO-00194"/>
    <x v="2"/>
    <x v="159"/>
    <d v="2023-06-01T00:00:00"/>
    <x v="2"/>
    <x v="1"/>
    <n v="913"/>
    <n v="28.01"/>
    <n v="24.06"/>
    <n v="53"/>
    <x v="0"/>
    <n v="19"/>
    <x v="193"/>
    <n v="25573.13"/>
    <n v="3606.3500000000022"/>
    <n v="0.14102106390574803"/>
    <n v="5.8050383351588172E-2"/>
    <s v="Late"/>
    <s v="OK"/>
  </r>
  <r>
    <s v="PO-00195"/>
    <x v="0"/>
    <x v="160"/>
    <d v="2022-03-18T00:00:00"/>
    <x v="2"/>
    <x v="0"/>
    <n v="792"/>
    <n v="18.16"/>
    <n v="17.25"/>
    <n v="17"/>
    <x v="0"/>
    <n v="6"/>
    <x v="194"/>
    <n v="14382.72"/>
    <n v="720.71999999999935"/>
    <n v="5.0110132158590268E-2"/>
    <n v="2.1464646464646464E-2"/>
    <s v="Cancelled"/>
    <s v="Status-Date Conflict"/>
  </r>
  <r>
    <s v="PO-00196"/>
    <x v="4"/>
    <x v="161"/>
    <d v="2023-07-03T00:00:00"/>
    <x v="0"/>
    <x v="2"/>
    <n v="1314"/>
    <n v="22.63"/>
    <n v="21.06"/>
    <n v="44"/>
    <x v="0"/>
    <n v="3"/>
    <x v="195"/>
    <n v="29735.82"/>
    <n v="2062.9800000000032"/>
    <n v="6.9376933274414604E-2"/>
    <n v="3.3485540334855401E-2"/>
    <s v="Partially Delivered"/>
    <s v="Status-Date Conflict"/>
  </r>
  <r>
    <s v="PO-00197"/>
    <x v="3"/>
    <x v="162"/>
    <d v="2022-05-22T00:00:00"/>
    <x v="1"/>
    <x v="1"/>
    <n v="613"/>
    <n v="52.5"/>
    <n v="45.19"/>
    <n v="70"/>
    <x v="0"/>
    <n v="13"/>
    <x v="196"/>
    <n v="32182.5"/>
    <n v="4481.0300000000025"/>
    <n v="0.13923809523809533"/>
    <n v="0.11419249592169657"/>
    <s v="Late"/>
    <s v="OK"/>
  </r>
  <r>
    <s v="PO-00198"/>
    <x v="0"/>
    <x v="163"/>
    <d v="2022-05-20T00:00:00"/>
    <x v="0"/>
    <x v="1"/>
    <n v="1070"/>
    <n v="29.14"/>
    <n v="26.63"/>
    <n v="24"/>
    <x v="0"/>
    <n v="8"/>
    <x v="197"/>
    <n v="31179.8"/>
    <n v="2685.7000000000007"/>
    <n v="8.6135895676046695E-2"/>
    <n v="2.2429906542056073E-2"/>
    <s v="On Time"/>
    <s v="OK"/>
  </r>
  <r>
    <s v="PO-00199"/>
    <x v="2"/>
    <x v="164"/>
    <d v="2023-11-26T00:00:00"/>
    <x v="3"/>
    <x v="2"/>
    <n v="145"/>
    <n v="47.49"/>
    <n v="42.76"/>
    <n v="6"/>
    <x v="0"/>
    <n v="19"/>
    <x v="198"/>
    <n v="6886.05"/>
    <n v="685.85000000000036"/>
    <n v="9.9599915771741473E-2"/>
    <n v="4.1379310344827586E-2"/>
    <s v="Partially Delivered"/>
    <s v="Status-Date Conflict"/>
  </r>
  <r>
    <s v="PO-00200"/>
    <x v="1"/>
    <x v="165"/>
    <d v="2023-05-17T00:00:00"/>
    <x v="3"/>
    <x v="1"/>
    <n v="1973"/>
    <n v="59.73"/>
    <n v="54.95"/>
    <n v="291"/>
    <x v="0"/>
    <n v="15"/>
    <x v="199"/>
    <n v="117847.29"/>
    <n v="9430.9399999999878"/>
    <n v="8.0026787209107553E-2"/>
    <n v="0.14749113025848962"/>
    <s v="Late"/>
    <s v="OK"/>
  </r>
  <r>
    <s v="PO-00201"/>
    <x v="4"/>
    <x v="166"/>
    <d v="2023-08-01T00:00:00"/>
    <x v="0"/>
    <x v="1"/>
    <n v="1807"/>
    <n v="78.63"/>
    <n v="73.08"/>
    <n v="100"/>
    <x v="0"/>
    <n v="15"/>
    <x v="200"/>
    <n v="142084.41"/>
    <n v="10028.850000000006"/>
    <n v="7.0583746661579586E-2"/>
    <n v="5.5340343110127282E-2"/>
    <s v="Late"/>
    <s v="OK"/>
  </r>
  <r>
    <s v="PO-00202"/>
    <x v="4"/>
    <x v="167"/>
    <d v="2022-06-20T00:00:00"/>
    <x v="5"/>
    <x v="1"/>
    <n v="534"/>
    <n v="13.88"/>
    <n v="12.51"/>
    <n v="100"/>
    <x v="0"/>
    <n v="1"/>
    <x v="201"/>
    <n v="7411.92"/>
    <n v="731.57999999999993"/>
    <n v="9.8703170028818427E-2"/>
    <n v="0.18726591760299627"/>
    <s v="On Time"/>
    <s v="OK"/>
  </r>
  <r>
    <s v="PO-00203"/>
    <x v="0"/>
    <x v="106"/>
    <d v="2022-10-14T00:00:00"/>
    <x v="5"/>
    <x v="1"/>
    <n v="1480"/>
    <n v="85.22"/>
    <n v="75.48"/>
    <n v="100"/>
    <x v="0"/>
    <n v="15"/>
    <x v="202"/>
    <n v="126125.59999999999"/>
    <n v="14415.199999999983"/>
    <n v="0.11429241961980742"/>
    <n v="6.7567567567567571E-2"/>
    <s v="Late"/>
    <s v="OK"/>
  </r>
  <r>
    <s v="PO-00204"/>
    <x v="0"/>
    <x v="168"/>
    <m/>
    <x v="0"/>
    <x v="1"/>
    <n v="280"/>
    <n v="72.16"/>
    <n v="62.38"/>
    <n v="100"/>
    <x v="0"/>
    <s v=""/>
    <x v="203"/>
    <n v="20204.8"/>
    <n v="2738.3999999999978"/>
    <n v="0.1355321507760531"/>
    <n v="0.35714285714285715"/>
    <s v="Missing Delivery Date"/>
    <s v="Missing Delivery Date"/>
  </r>
  <r>
    <s v="PO-00205"/>
    <x v="3"/>
    <x v="169"/>
    <d v="2023-09-20T00:00:00"/>
    <x v="0"/>
    <x v="0"/>
    <n v="798"/>
    <n v="19.09"/>
    <n v="17.760000000000002"/>
    <n v="100"/>
    <x v="0"/>
    <n v="6"/>
    <x v="204"/>
    <n v="15233.82"/>
    <n v="1061.3399999999983"/>
    <n v="6.9669984284965847E-2"/>
    <n v="0.12531328320802004"/>
    <s v="Cancelled"/>
    <s v="Status-Date Conflict"/>
  </r>
  <r>
    <s v="PO-00206"/>
    <x v="4"/>
    <x v="170"/>
    <d v="2023-03-22T00:00:00"/>
    <x v="5"/>
    <x v="1"/>
    <n v="1728"/>
    <n v="94.83"/>
    <n v="90.2"/>
    <n v="100"/>
    <x v="0"/>
    <n v="12"/>
    <x v="205"/>
    <n v="163866.23999999999"/>
    <n v="8000.6399999999849"/>
    <n v="4.8824211747337254E-2"/>
    <n v="5.7870370370370371E-2"/>
    <s v="Late"/>
    <s v="OK"/>
  </r>
  <r>
    <s v="PO-00207"/>
    <x v="4"/>
    <x v="96"/>
    <m/>
    <x v="1"/>
    <x v="1"/>
    <n v="1244"/>
    <n v="96.13"/>
    <n v="84.78"/>
    <n v="43"/>
    <x v="0"/>
    <s v=""/>
    <x v="206"/>
    <n v="119585.72"/>
    <n v="14119.399999999994"/>
    <n v="0.11806928118173302"/>
    <n v="3.4565916398713828E-2"/>
    <s v="Missing Delivery Date"/>
    <s v="Missing Delivery Date"/>
  </r>
  <r>
    <s v="PO-00208"/>
    <x v="3"/>
    <x v="146"/>
    <d v="2023-07-21T00:00:00"/>
    <x v="0"/>
    <x v="1"/>
    <n v="590"/>
    <n v="16.89"/>
    <n v="15.56"/>
    <n v="46"/>
    <x v="1"/>
    <n v="14"/>
    <x v="207"/>
    <n v="9965.1"/>
    <n v="784.70000000000073"/>
    <n v="7.8744819419775083E-2"/>
    <n v="7.796610169491526E-2"/>
    <s v="Late"/>
    <s v="OK"/>
  </r>
  <r>
    <s v="PO-00209"/>
    <x v="1"/>
    <x v="171"/>
    <d v="2023-12-23T00:00:00"/>
    <x v="2"/>
    <x v="1"/>
    <n v="1109"/>
    <n v="38.93"/>
    <n v="33.33"/>
    <n v="152"/>
    <x v="0"/>
    <n v="15"/>
    <x v="208"/>
    <n v="43173.37"/>
    <n v="6210.4000000000015"/>
    <n v="0.14384793218597486"/>
    <n v="0.13706041478809738"/>
    <s v="Late"/>
    <s v="OK"/>
  </r>
  <r>
    <s v="PO-00210"/>
    <x v="3"/>
    <x v="172"/>
    <d v="2022-08-01T00:00:00"/>
    <x v="1"/>
    <x v="1"/>
    <n v="574"/>
    <n v="85.03"/>
    <n v="82.55"/>
    <n v="54"/>
    <x v="0"/>
    <n v="7"/>
    <x v="209"/>
    <n v="48807.22"/>
    <n v="1423.5200000000041"/>
    <n v="2.9166176643537659E-2"/>
    <n v="9.4076655052264813E-2"/>
    <s v="On Time"/>
    <s v="OK"/>
  </r>
  <r>
    <s v="PO-00211"/>
    <x v="2"/>
    <x v="173"/>
    <m/>
    <x v="0"/>
    <x v="1"/>
    <n v="1233"/>
    <n v="86.62"/>
    <n v="76.59"/>
    <n v="65"/>
    <x v="0"/>
    <s v=""/>
    <x v="210"/>
    <n v="106802.46"/>
    <n v="12366.990000000005"/>
    <n v="0.11579311937196957"/>
    <n v="5.2716950527169508E-2"/>
    <s v="Missing Delivery Date"/>
    <s v="Missing Delivery Date"/>
  </r>
  <r>
    <s v="PO-00212"/>
    <x v="2"/>
    <x v="174"/>
    <d v="2022-11-20T00:00:00"/>
    <x v="2"/>
    <x v="1"/>
    <n v="1912"/>
    <n v="27.94"/>
    <n v="25.59"/>
    <n v="83"/>
    <x v="1"/>
    <n v="4"/>
    <x v="211"/>
    <n v="53421.279999999999"/>
    <n v="4493.1999999999971"/>
    <n v="8.4108804581245478E-2"/>
    <n v="4.3410041841004186E-2"/>
    <s v="On Time"/>
    <s v="OK"/>
  </r>
  <r>
    <s v="PO-00213"/>
    <x v="0"/>
    <x v="113"/>
    <d v="2023-03-04T00:00:00"/>
    <x v="2"/>
    <x v="1"/>
    <n v="1772"/>
    <n v="30.72"/>
    <n v="27.76"/>
    <n v="46"/>
    <x v="1"/>
    <n v="19"/>
    <x v="212"/>
    <n v="54435.839999999997"/>
    <n v="5245.1199999999953"/>
    <n v="9.6354166666666588E-2"/>
    <n v="2.5959367945823927E-2"/>
    <s v="Late"/>
    <s v="OK"/>
  </r>
  <r>
    <s v="PO-00214"/>
    <x v="3"/>
    <x v="175"/>
    <d v="2023-11-29T00:00:00"/>
    <x v="0"/>
    <x v="1"/>
    <n v="1316"/>
    <n v="48.11"/>
    <n v="41.9"/>
    <n v="135"/>
    <x v="0"/>
    <n v="10"/>
    <x v="213"/>
    <n v="63312.76"/>
    <n v="8172.3600000000006"/>
    <n v="0.12907919351486177"/>
    <n v="0.10258358662613981"/>
    <s v="On Time"/>
    <s v="OK"/>
  </r>
  <r>
    <s v="PO-00215"/>
    <x v="3"/>
    <x v="23"/>
    <m/>
    <x v="0"/>
    <x v="1"/>
    <n v="1159"/>
    <n v="59.24"/>
    <n v="58.08"/>
    <m/>
    <x v="0"/>
    <s v=""/>
    <x v="214"/>
    <n v="68659.16"/>
    <n v="1344.4400000000023"/>
    <n v="1.95813639432816E-2"/>
    <n v="0"/>
    <s v="Missing Delivery Date"/>
    <s v="Missing Delivery Date"/>
  </r>
  <r>
    <s v="PO-00216"/>
    <x v="0"/>
    <x v="144"/>
    <d v="2023-01-31T00:00:00"/>
    <x v="0"/>
    <x v="1"/>
    <n v="1869"/>
    <n v="69.58"/>
    <n v="67.5"/>
    <n v="31"/>
    <x v="0"/>
    <n v="13"/>
    <x v="215"/>
    <n v="130045.02"/>
    <n v="3887.5200000000041"/>
    <n v="2.9893647599885054E-2"/>
    <n v="1.6586409844836811E-2"/>
    <s v="Late"/>
    <s v="OK"/>
  </r>
  <r>
    <s v="PO-00217"/>
    <x v="1"/>
    <x v="176"/>
    <d v="2023-04-13T00:00:00"/>
    <x v="2"/>
    <x v="1"/>
    <n v="627"/>
    <n v="46.23"/>
    <n v="42.87"/>
    <m/>
    <x v="0"/>
    <n v="19"/>
    <x v="216"/>
    <n v="28986.21"/>
    <n v="2106.7200000000012"/>
    <n v="7.2680077871512053E-2"/>
    <n v="0"/>
    <s v="Late"/>
    <s v="OK"/>
  </r>
  <r>
    <s v="PO-00218"/>
    <x v="3"/>
    <x v="177"/>
    <d v="2023-06-16T00:00:00"/>
    <x v="3"/>
    <x v="3"/>
    <n v="731"/>
    <n v="56.02"/>
    <n v="54.78"/>
    <n v="70"/>
    <x v="1"/>
    <n v="2"/>
    <x v="217"/>
    <n v="40950.620000000003"/>
    <n v="906.44000000000233"/>
    <n v="2.2134951802927582E-2"/>
    <n v="9.575923392612859E-2"/>
    <s v="Pending"/>
    <s v="Status-Date Conflict"/>
  </r>
  <r>
    <s v="PO-00219"/>
    <x v="4"/>
    <x v="178"/>
    <m/>
    <x v="0"/>
    <x v="0"/>
    <n v="606"/>
    <n v="83.07"/>
    <n v="79.22"/>
    <n v="16"/>
    <x v="0"/>
    <s v=""/>
    <x v="218"/>
    <n v="50340.42"/>
    <n v="2333.0999999999985"/>
    <n v="4.6346454797158994E-2"/>
    <n v="2.6402640264026403E-2"/>
    <s v="Cancelled"/>
    <s v="OK"/>
  </r>
  <r>
    <s v="PO-00220"/>
    <x v="3"/>
    <x v="179"/>
    <d v="2022-05-14T00:00:00"/>
    <x v="0"/>
    <x v="1"/>
    <n v="1647"/>
    <n v="13.57"/>
    <n v="12.33"/>
    <n v="157"/>
    <x v="0"/>
    <n v="10"/>
    <x v="219"/>
    <n v="22349.79"/>
    <n v="2042.2800000000025"/>
    <n v="9.1378039793662602E-2"/>
    <n v="9.532483302975106E-2"/>
    <s v="On Time"/>
    <s v="OK"/>
  </r>
  <r>
    <s v="PO-00221"/>
    <x v="1"/>
    <x v="180"/>
    <d v="2022-09-19T00:00:00"/>
    <x v="1"/>
    <x v="1"/>
    <n v="1062"/>
    <n v="34.03"/>
    <n v="30.46"/>
    <m/>
    <x v="0"/>
    <n v="8"/>
    <x v="220"/>
    <n v="36139.86"/>
    <n v="3791.34"/>
    <n v="0.10490743461651485"/>
    <n v="0"/>
    <s v="On Time"/>
    <s v="OK"/>
  </r>
  <r>
    <s v="PO-00222"/>
    <x v="3"/>
    <x v="181"/>
    <d v="2022-08-31T00:00:00"/>
    <x v="0"/>
    <x v="1"/>
    <n v="695"/>
    <n v="76.8"/>
    <n v="69.760000000000005"/>
    <m/>
    <x v="1"/>
    <n v="12"/>
    <x v="221"/>
    <n v="53376"/>
    <n v="4892.7999999999956"/>
    <n v="9.1666666666666591E-2"/>
    <n v="0"/>
    <s v="Late"/>
    <s v="OK"/>
  </r>
  <r>
    <s v="PO-00223"/>
    <x v="4"/>
    <x v="124"/>
    <d v="2022-03-14T00:00:00"/>
    <x v="1"/>
    <x v="1"/>
    <n v="845"/>
    <n v="91.47"/>
    <n v="86.97"/>
    <m/>
    <x v="0"/>
    <n v="7"/>
    <x v="222"/>
    <n v="77292.149999999994"/>
    <n v="3802.5"/>
    <n v="4.9196457855034438E-2"/>
    <n v="0"/>
    <s v="On Time"/>
    <s v="OK"/>
  </r>
  <r>
    <s v="PO-00224"/>
    <x v="2"/>
    <x v="182"/>
    <d v="2022-12-18T00:00:00"/>
    <x v="1"/>
    <x v="1"/>
    <n v="1101"/>
    <n v="59.13"/>
    <n v="52.51"/>
    <n v="54"/>
    <x v="0"/>
    <n v="5"/>
    <x v="223"/>
    <n v="65102.130000000005"/>
    <n v="7288.6200000000099"/>
    <n v="0.11195670556401165"/>
    <n v="4.9046321525885561E-2"/>
    <s v="On Time"/>
    <s v="OK"/>
  </r>
  <r>
    <s v="PO-00225"/>
    <x v="2"/>
    <x v="183"/>
    <d v="2022-01-24T00:00:00"/>
    <x v="3"/>
    <x v="1"/>
    <n v="1693"/>
    <n v="57.89"/>
    <n v="49.84"/>
    <n v="88"/>
    <x v="0"/>
    <n v="2"/>
    <x v="224"/>
    <n v="98007.77"/>
    <n v="13628.649999999994"/>
    <n v="0.13905683192261178"/>
    <n v="5.1978735971647962E-2"/>
    <s v="On Time"/>
    <s v="OK"/>
  </r>
  <r>
    <s v="PO-00226"/>
    <x v="1"/>
    <x v="184"/>
    <d v="2023-09-10T00:00:00"/>
    <x v="0"/>
    <x v="0"/>
    <n v="1629"/>
    <n v="21.51"/>
    <n v="19.41"/>
    <n v="250"/>
    <x v="1"/>
    <n v="15"/>
    <x v="225"/>
    <n v="35039.79"/>
    <n v="3420.9000000000015"/>
    <n v="9.7629009762901009E-2"/>
    <n v="0.1534683855125844"/>
    <s v="Cancelled"/>
    <s v="Status-Date Conflict"/>
  </r>
  <r>
    <s v="PO-00227"/>
    <x v="1"/>
    <x v="185"/>
    <d v="2023-08-03T00:00:00"/>
    <x v="3"/>
    <x v="1"/>
    <n v="1413"/>
    <n v="54.79"/>
    <n v="50.42"/>
    <m/>
    <x v="0"/>
    <n v="12"/>
    <x v="226"/>
    <n v="77418.27"/>
    <n v="6174.8099999999977"/>
    <n v="7.9759080124110204E-2"/>
    <n v="0"/>
    <s v="Late"/>
    <s v="OK"/>
  </r>
  <r>
    <s v="PO-00228"/>
    <x v="4"/>
    <x v="186"/>
    <d v="2022-08-27T00:00:00"/>
    <x v="2"/>
    <x v="1"/>
    <n v="1871"/>
    <n v="59.96"/>
    <n v="58.54"/>
    <n v="47"/>
    <x v="0"/>
    <n v="3"/>
    <x v="227"/>
    <n v="112185.16"/>
    <n v="2656.820000000007"/>
    <n v="2.368245496998005E-2"/>
    <n v="2.512025654730091E-2"/>
    <s v="On Time"/>
    <s v="OK"/>
  </r>
  <r>
    <s v="PO-00229"/>
    <x v="2"/>
    <x v="184"/>
    <m/>
    <x v="3"/>
    <x v="1"/>
    <n v="1404"/>
    <n v="34.85"/>
    <n v="30.5"/>
    <n v="78"/>
    <x v="0"/>
    <s v=""/>
    <x v="228"/>
    <n v="48929.4"/>
    <n v="6107.4000000000015"/>
    <n v="0.12482065997130562"/>
    <n v="5.5555555555555552E-2"/>
    <s v="Missing Delivery Date"/>
    <s v="Missing Delivery Date"/>
  </r>
  <r>
    <s v="PO-00230"/>
    <x v="2"/>
    <x v="26"/>
    <d v="2022-08-28T00:00:00"/>
    <x v="5"/>
    <x v="1"/>
    <n v="1713"/>
    <n v="35.43"/>
    <n v="34.11"/>
    <n v="74"/>
    <x v="0"/>
    <n v="14"/>
    <x v="229"/>
    <n v="60691.59"/>
    <n v="2261.1599999999962"/>
    <n v="3.7256562235393677E-2"/>
    <n v="4.3199065966141273E-2"/>
    <s v="Late"/>
    <s v="OK"/>
  </r>
  <r>
    <s v="PO-00231"/>
    <x v="2"/>
    <x v="187"/>
    <d v="2022-01-13T00:00:00"/>
    <x v="5"/>
    <x v="1"/>
    <n v="1579"/>
    <n v="43.96"/>
    <n v="43.41"/>
    <n v="74"/>
    <x v="0"/>
    <n v="5"/>
    <x v="230"/>
    <n v="69412.84"/>
    <n v="868.44999999999709"/>
    <n v="1.2511373976342088E-2"/>
    <n v="4.6865104496516784E-2"/>
    <s v="On Time"/>
    <s v="OK"/>
  </r>
  <r>
    <s v="PO-00232"/>
    <x v="2"/>
    <x v="188"/>
    <d v="2022-03-26T00:00:00"/>
    <x v="5"/>
    <x v="1"/>
    <n v="1421"/>
    <n v="11.92"/>
    <n v="11.72"/>
    <n v="76"/>
    <x v="0"/>
    <n v="12"/>
    <x v="231"/>
    <n v="16938.32"/>
    <n v="284.19999999999709"/>
    <n v="1.6778523489932716E-2"/>
    <n v="5.3483462350457422E-2"/>
    <s v="Late"/>
    <s v="OK"/>
  </r>
  <r>
    <s v="PO-00233"/>
    <x v="4"/>
    <x v="189"/>
    <d v="2024-01-04T00:00:00"/>
    <x v="1"/>
    <x v="1"/>
    <n v="1546"/>
    <n v="43.47"/>
    <n v="37.369999999999997"/>
    <n v="53"/>
    <x v="0"/>
    <n v="9"/>
    <x v="232"/>
    <n v="67204.62"/>
    <n v="9430.5999999999985"/>
    <n v="0.1403266620657925"/>
    <n v="3.428201811125485E-2"/>
    <s v="On Time"/>
    <s v="OK"/>
  </r>
  <r>
    <s v="PO-00234"/>
    <x v="1"/>
    <x v="190"/>
    <d v="2023-10-18T00:00:00"/>
    <x v="5"/>
    <x v="1"/>
    <n v="1304"/>
    <n v="32.08"/>
    <n v="29.36"/>
    <m/>
    <x v="0"/>
    <n v="9"/>
    <x v="233"/>
    <n v="41832.32"/>
    <n v="3546.8799999999974"/>
    <n v="8.478802992518697E-2"/>
    <n v="0"/>
    <s v="On Time"/>
    <s v="OK"/>
  </r>
  <r>
    <s v="PO-00235"/>
    <x v="1"/>
    <x v="191"/>
    <m/>
    <x v="3"/>
    <x v="1"/>
    <n v="239"/>
    <n v="39.869999999999997"/>
    <n v="35.47"/>
    <n v="32"/>
    <x v="0"/>
    <s v=""/>
    <x v="234"/>
    <n v="9528.93"/>
    <n v="1051.6000000000004"/>
    <n v="0.1103586656634061"/>
    <n v="0.13389121338912133"/>
    <s v="Missing Delivery Date"/>
    <s v="Missing Delivery Date"/>
  </r>
  <r>
    <s v="PO-00236"/>
    <x v="0"/>
    <x v="91"/>
    <m/>
    <x v="0"/>
    <x v="1"/>
    <n v="1298"/>
    <n v="21.51"/>
    <n v="20.83"/>
    <m/>
    <x v="0"/>
    <s v=""/>
    <x v="235"/>
    <n v="27919.980000000003"/>
    <n v="882.64000000000669"/>
    <n v="3.1613203161320554E-2"/>
    <n v="0"/>
    <s v="Missing Delivery Date"/>
    <s v="Missing Delivery Date"/>
  </r>
  <r>
    <s v="PO-00237"/>
    <x v="1"/>
    <x v="192"/>
    <m/>
    <x v="1"/>
    <x v="1"/>
    <n v="1458"/>
    <n v="91.05"/>
    <n v="81.56"/>
    <n v="220"/>
    <x v="0"/>
    <s v=""/>
    <x v="236"/>
    <n v="132750.9"/>
    <n v="13836.419999999984"/>
    <n v="0.10422844590884117"/>
    <n v="0.15089163237311384"/>
    <s v="Missing Delivery Date"/>
    <s v="Missing Delivery Date"/>
  </r>
  <r>
    <s v="PO-00238"/>
    <x v="2"/>
    <x v="13"/>
    <d v="2022-02-13T00:00:00"/>
    <x v="1"/>
    <x v="1"/>
    <n v="1450"/>
    <n v="63.74"/>
    <n v="59.11"/>
    <n v="71"/>
    <x v="0"/>
    <n v="11"/>
    <x v="237"/>
    <n v="92423"/>
    <n v="6713.5"/>
    <n v="7.2638845309068084E-2"/>
    <n v="4.8965517241379312E-2"/>
    <s v="Late"/>
    <s v="OK"/>
  </r>
  <r>
    <s v="PO-00239"/>
    <x v="3"/>
    <x v="193"/>
    <d v="2022-12-20T00:00:00"/>
    <x v="5"/>
    <x v="1"/>
    <n v="1356"/>
    <n v="75.03"/>
    <n v="63.86"/>
    <n v="131"/>
    <x v="0"/>
    <n v="15"/>
    <x v="238"/>
    <n v="101740.68000000001"/>
    <n v="15146.520000000004"/>
    <n v="0.14887378381980543"/>
    <n v="9.6607669616519176E-2"/>
    <s v="Late"/>
    <s v="OK"/>
  </r>
  <r>
    <s v="PO-00240"/>
    <x v="2"/>
    <x v="188"/>
    <m/>
    <x v="2"/>
    <x v="1"/>
    <n v="682"/>
    <n v="81.84"/>
    <n v="71.86"/>
    <n v="40"/>
    <x v="0"/>
    <s v=""/>
    <x v="239"/>
    <n v="55814.880000000005"/>
    <n v="6806.3600000000079"/>
    <n v="0.12194525904203336"/>
    <n v="5.865102639296188E-2"/>
    <s v="Missing Delivery Date"/>
    <s v="Missing Delivery Date"/>
  </r>
  <r>
    <s v="PO-00241"/>
    <x v="2"/>
    <x v="194"/>
    <d v="2023-06-19T00:00:00"/>
    <x v="2"/>
    <x v="1"/>
    <n v="677"/>
    <n v="59.52"/>
    <n v="55.29"/>
    <n v="39"/>
    <x v="0"/>
    <n v="8"/>
    <x v="240"/>
    <n v="40295.040000000001"/>
    <n v="2863.7099999999991"/>
    <n v="7.1068548387096753E-2"/>
    <n v="5.7607090103397339E-2"/>
    <s v="On Time"/>
    <s v="OK"/>
  </r>
  <r>
    <s v="PO-00242"/>
    <x v="1"/>
    <x v="195"/>
    <d v="2022-09-14T00:00:00"/>
    <x v="0"/>
    <x v="1"/>
    <n v="1022"/>
    <n v="18.54"/>
    <n v="16.55"/>
    <n v="150"/>
    <x v="0"/>
    <n v="13"/>
    <x v="241"/>
    <n v="18947.879999999997"/>
    <n v="2033.7799999999952"/>
    <n v="0.10733549083063622"/>
    <n v="0.14677103718199608"/>
    <s v="Late"/>
    <s v="OK"/>
  </r>
  <r>
    <s v="PO-00243"/>
    <x v="0"/>
    <x v="196"/>
    <m/>
    <x v="3"/>
    <x v="1"/>
    <n v="1818"/>
    <n v="60.96"/>
    <n v="57.13"/>
    <n v="41"/>
    <x v="0"/>
    <s v=""/>
    <x v="242"/>
    <n v="110825.28"/>
    <n v="6962.9399999999878"/>
    <n v="6.2828083989501196E-2"/>
    <n v="2.2552255225522552E-2"/>
    <s v="Missing Delivery Date"/>
    <s v="Missing Delivery Date"/>
  </r>
  <r>
    <s v="PO-00244"/>
    <x v="4"/>
    <x v="197"/>
    <d v="2023-11-29T00:00:00"/>
    <x v="5"/>
    <x v="1"/>
    <n v="1332"/>
    <n v="69.73"/>
    <n v="63.8"/>
    <n v="41"/>
    <x v="0"/>
    <n v="12"/>
    <x v="243"/>
    <n v="92880.36"/>
    <n v="7898.7600000000093"/>
    <n v="8.5042306037573595E-2"/>
    <n v="3.0780780780780781E-2"/>
    <s v="Late"/>
    <s v="OK"/>
  </r>
  <r>
    <s v="PO-00245"/>
    <x v="3"/>
    <x v="159"/>
    <d v="2023-05-26T00:00:00"/>
    <x v="3"/>
    <x v="1"/>
    <n v="1432"/>
    <n v="83.26"/>
    <n v="77.67"/>
    <n v="174"/>
    <x v="0"/>
    <n v="13"/>
    <x v="244"/>
    <n v="119228.32"/>
    <n v="8004.8800000000047"/>
    <n v="6.7139082392505434E-2"/>
    <n v="0.12150837988826815"/>
    <s v="Late"/>
    <s v="OK"/>
  </r>
  <r>
    <s v="PO-00246"/>
    <x v="3"/>
    <x v="198"/>
    <d v="2022-08-26T00:00:00"/>
    <x v="2"/>
    <x v="3"/>
    <n v="759"/>
    <n v="50.56"/>
    <n v="46.47"/>
    <n v="63"/>
    <x v="1"/>
    <n v="18"/>
    <x v="245"/>
    <n v="38375.040000000001"/>
    <n v="3104.3100000000049"/>
    <n v="8.0893987341772278E-2"/>
    <n v="8.3003952569169967E-2"/>
    <s v="Pending"/>
    <s v="Status-Date Conflict"/>
  </r>
  <r>
    <s v="PO-00247"/>
    <x v="0"/>
    <x v="146"/>
    <d v="2023-07-19T00:00:00"/>
    <x v="2"/>
    <x v="1"/>
    <n v="1529"/>
    <n v="23.42"/>
    <n v="22.44"/>
    <n v="30"/>
    <x v="0"/>
    <n v="12"/>
    <x v="246"/>
    <n v="35809.18"/>
    <n v="1498.4199999999983"/>
    <n v="4.1844577284372284E-2"/>
    <n v="1.962066710268149E-2"/>
    <s v="Late"/>
    <s v="OK"/>
  </r>
  <r>
    <s v="PO-00248"/>
    <x v="2"/>
    <x v="199"/>
    <d v="2022-05-25T00:00:00"/>
    <x v="5"/>
    <x v="1"/>
    <n v="1484"/>
    <n v="36.25"/>
    <n v="31.8"/>
    <n v="61"/>
    <x v="0"/>
    <n v="9"/>
    <x v="247"/>
    <n v="53795"/>
    <n v="6603.7999999999956"/>
    <n v="0.1227586206896551"/>
    <n v="4.1105121293800541E-2"/>
    <s v="On Time"/>
    <s v="OK"/>
  </r>
  <r>
    <s v="PO-00249"/>
    <x v="4"/>
    <x v="200"/>
    <d v="2023-08-20T00:00:00"/>
    <x v="2"/>
    <x v="1"/>
    <n v="698"/>
    <n v="46.73"/>
    <n v="45.61"/>
    <n v="15"/>
    <x v="0"/>
    <n v="12"/>
    <x v="248"/>
    <n v="32617.539999999997"/>
    <n v="781.7599999999984"/>
    <n v="2.3967472715600211E-2"/>
    <n v="2.148997134670487E-2"/>
    <s v="Late"/>
    <s v="OK"/>
  </r>
  <r>
    <s v="PO-00250"/>
    <x v="4"/>
    <x v="201"/>
    <d v="2023-08-22T00:00:00"/>
    <x v="2"/>
    <x v="3"/>
    <n v="367"/>
    <n v="74.61"/>
    <n v="71.36"/>
    <n v="13"/>
    <x v="0"/>
    <n v="8"/>
    <x v="249"/>
    <n v="27381.87"/>
    <n v="1192.75"/>
    <n v="4.3559844524862619E-2"/>
    <n v="3.5422343324250684E-2"/>
    <s v="Pending"/>
    <s v="Status-Date Conflict"/>
  </r>
  <r>
    <s v="PO-00251"/>
    <x v="4"/>
    <x v="202"/>
    <d v="2023-05-20T00:00:00"/>
    <x v="0"/>
    <x v="2"/>
    <n v="1750"/>
    <n v="65.97"/>
    <n v="58.34"/>
    <n v="50"/>
    <x v="0"/>
    <n v="20"/>
    <x v="250"/>
    <n v="115447.5"/>
    <n v="13352.5"/>
    <n v="0.11565863271183871"/>
    <n v="2.8571428571428571E-2"/>
    <s v="Partially Delivered"/>
    <s v="Status-Date Conflict"/>
  </r>
  <r>
    <s v="PO-00252"/>
    <x v="1"/>
    <x v="203"/>
    <d v="2022-09-24T00:00:00"/>
    <x v="0"/>
    <x v="2"/>
    <n v="1298"/>
    <n v="43.73"/>
    <n v="37.21"/>
    <m/>
    <x v="1"/>
    <n v="18"/>
    <x v="251"/>
    <n v="56761.539999999994"/>
    <n v="8462.9599999999919"/>
    <n v="0.14909672993368384"/>
    <n v="0"/>
    <s v="Partially Delivered"/>
    <s v="Status-Date Conflict"/>
  </r>
  <r>
    <s v="PO-00253"/>
    <x v="2"/>
    <x v="202"/>
    <d v="2023-05-20T00:00:00"/>
    <x v="2"/>
    <x v="1"/>
    <n v="1892"/>
    <n v="106.2"/>
    <n v="96.37"/>
    <n v="93"/>
    <x v="0"/>
    <n v="20"/>
    <x v="252"/>
    <n v="200930.4"/>
    <n v="18598.359999999986"/>
    <n v="9.2561205273069616E-2"/>
    <n v="4.915433403805497E-2"/>
    <s v="Late"/>
    <s v="OK"/>
  </r>
  <r>
    <s v="PO-00254"/>
    <x v="3"/>
    <x v="204"/>
    <d v="2023-02-24T00:00:00"/>
    <x v="5"/>
    <x v="1"/>
    <n v="1307"/>
    <n v="68.709999999999994"/>
    <n v="60.64"/>
    <n v="141"/>
    <x v="0"/>
    <n v="3"/>
    <x v="253"/>
    <n v="89803.969999999987"/>
    <n v="10547.489999999991"/>
    <n v="0.11745015281618387"/>
    <n v="0.10788064269319052"/>
    <s v="On Time"/>
    <s v="OK"/>
  </r>
  <r>
    <s v="PO-00255"/>
    <x v="3"/>
    <x v="205"/>
    <d v="2022-07-29T00:00:00"/>
    <x v="5"/>
    <x v="1"/>
    <n v="733"/>
    <n v="32.29"/>
    <n v="29.01"/>
    <n v="78"/>
    <x v="0"/>
    <n v="15"/>
    <x v="254"/>
    <n v="23668.57"/>
    <n v="2404.239999999998"/>
    <n v="0.1015794363580055"/>
    <n v="0.10641200545702592"/>
    <s v="Late"/>
    <s v="OK"/>
  </r>
  <r>
    <s v="PO-00256"/>
    <x v="2"/>
    <x v="206"/>
    <m/>
    <x v="2"/>
    <x v="1"/>
    <n v="713"/>
    <n v="19.45"/>
    <n v="18.82"/>
    <n v="31"/>
    <x v="0"/>
    <s v=""/>
    <x v="255"/>
    <n v="13867.85"/>
    <n v="449.19000000000051"/>
    <n v="3.239074550128538E-2"/>
    <n v="4.3478260869565216E-2"/>
    <s v="Missing Delivery Date"/>
    <s v="Missing Delivery Date"/>
  </r>
  <r>
    <s v="PO-00257"/>
    <x v="3"/>
    <x v="39"/>
    <d v="2022-04-24T00:00:00"/>
    <x v="2"/>
    <x v="1"/>
    <n v="1900"/>
    <n v="24.11"/>
    <n v="23.45"/>
    <n v="188"/>
    <x v="0"/>
    <n v="14"/>
    <x v="256"/>
    <n v="45809"/>
    <n v="1254"/>
    <n v="2.7374533388635422E-2"/>
    <n v="9.8947368421052631E-2"/>
    <s v="Late"/>
    <s v="OK"/>
  </r>
  <r>
    <s v="PO-00258"/>
    <x v="1"/>
    <x v="207"/>
    <d v="2023-11-08T00:00:00"/>
    <x v="1"/>
    <x v="0"/>
    <n v="1447"/>
    <n v="35.67"/>
    <n v="35.07"/>
    <n v="224"/>
    <x v="1"/>
    <n v="2"/>
    <x v="257"/>
    <n v="51614.490000000005"/>
    <n v="868.20000000000437"/>
    <n v="1.6820857863751135E-2"/>
    <n v="0.15480304077401522"/>
    <s v="Cancelled"/>
    <s v="Status-Date Conflict"/>
  </r>
  <r>
    <s v="PO-00259"/>
    <x v="4"/>
    <x v="208"/>
    <m/>
    <x v="0"/>
    <x v="1"/>
    <n v="1745"/>
    <n v="26.17"/>
    <n v="22.25"/>
    <n v="55"/>
    <x v="0"/>
    <s v=""/>
    <x v="258"/>
    <n v="45666.65"/>
    <n v="6840.4000000000015"/>
    <n v="0.14978983568972107"/>
    <n v="3.151862464183381E-2"/>
    <s v="Missing Delivery Date"/>
    <s v="Missing Delivery Date"/>
  </r>
  <r>
    <s v="PO-00260"/>
    <x v="3"/>
    <x v="209"/>
    <d v="2023-01-14T00:00:00"/>
    <x v="0"/>
    <x v="1"/>
    <n v="1681"/>
    <n v="28.26"/>
    <n v="26.62"/>
    <n v="143"/>
    <x v="0"/>
    <n v="16"/>
    <x v="259"/>
    <n v="47505.060000000005"/>
    <n v="2756.8400000000038"/>
    <n v="5.8032554847841547E-2"/>
    <n v="8.5068411659726353E-2"/>
    <s v="Late"/>
    <s v="OK"/>
  </r>
  <r>
    <s v="PO-00261"/>
    <x v="1"/>
    <x v="170"/>
    <d v="2023-03-18T00:00:00"/>
    <x v="5"/>
    <x v="1"/>
    <n v="1545"/>
    <n v="38.15"/>
    <n v="36.96"/>
    <n v="214"/>
    <x v="0"/>
    <n v="8"/>
    <x v="260"/>
    <n v="58941.75"/>
    <n v="1838.5499999999956"/>
    <n v="3.1192660550458641E-2"/>
    <n v="0.13851132686084142"/>
    <s v="On Time"/>
    <s v="OK"/>
  </r>
  <r>
    <s v="PO-00262"/>
    <x v="4"/>
    <x v="210"/>
    <d v="2023-03-02T00:00:00"/>
    <x v="3"/>
    <x v="1"/>
    <n v="1306"/>
    <n v="27.27"/>
    <n v="25.96"/>
    <n v="39"/>
    <x v="0"/>
    <n v="5"/>
    <x v="261"/>
    <n v="35614.620000000003"/>
    <n v="1710.8600000000006"/>
    <n v="4.8038137147048049E-2"/>
    <n v="2.9862174578866769E-2"/>
    <s v="On Time"/>
    <s v="OK"/>
  </r>
  <r>
    <s v="PO-00263"/>
    <x v="2"/>
    <x v="211"/>
    <d v="2023-05-06T00:00:00"/>
    <x v="3"/>
    <x v="1"/>
    <n v="1765"/>
    <n v="97.51"/>
    <n v="84.3"/>
    <n v="65"/>
    <x v="0"/>
    <n v="12"/>
    <x v="262"/>
    <n v="172105.15000000002"/>
    <n v="23315.650000000023"/>
    <n v="0.13547328479130358"/>
    <n v="3.6827195467422094E-2"/>
    <s v="Late"/>
    <s v="OK"/>
  </r>
  <r>
    <s v="PO-00264"/>
    <x v="2"/>
    <x v="212"/>
    <d v="2022-03-15T00:00:00"/>
    <x v="2"/>
    <x v="0"/>
    <n v="1186"/>
    <n v="17.309999999999999"/>
    <n v="16"/>
    <n v="64"/>
    <x v="0"/>
    <n v="18"/>
    <x v="263"/>
    <n v="20529.66"/>
    <n v="1553.6599999999999"/>
    <n v="7.5678798382437892E-2"/>
    <n v="5.3962900505902189E-2"/>
    <s v="Cancelled"/>
    <s v="Status-Date Conflict"/>
  </r>
  <r>
    <s v="PO-00265"/>
    <x v="1"/>
    <x v="213"/>
    <d v="2023-11-26T00:00:00"/>
    <x v="2"/>
    <x v="1"/>
    <n v="1903"/>
    <n v="63.5"/>
    <n v="56.09"/>
    <n v="254"/>
    <x v="0"/>
    <n v="5"/>
    <x v="264"/>
    <n v="120840.5"/>
    <n v="14101.229999999996"/>
    <n v="0.11669291338582674"/>
    <n v="0.13347346295323173"/>
    <s v="On Time"/>
    <s v="OK"/>
  </r>
  <r>
    <s v="PO-00266"/>
    <x v="1"/>
    <x v="214"/>
    <d v="2023-11-05T00:00:00"/>
    <x v="1"/>
    <x v="1"/>
    <n v="1570"/>
    <n v="52.1"/>
    <n v="47.87"/>
    <m/>
    <x v="1"/>
    <n v="4"/>
    <x v="265"/>
    <n v="81797"/>
    <n v="6641.1000000000058"/>
    <n v="8.1190019193858043E-2"/>
    <n v="0"/>
    <s v="On Time"/>
    <s v="OK"/>
  </r>
  <r>
    <s v="PO-00267"/>
    <x v="1"/>
    <x v="215"/>
    <d v="2023-11-13T00:00:00"/>
    <x v="1"/>
    <x v="1"/>
    <n v="491"/>
    <n v="108.75"/>
    <n v="93.35"/>
    <m/>
    <x v="1"/>
    <n v="20"/>
    <x v="266"/>
    <n v="53396.25"/>
    <n v="7561.4000000000015"/>
    <n v="0.14160919540229888"/>
    <n v="0"/>
    <s v="Late"/>
    <s v="OK"/>
  </r>
  <r>
    <s v="PO-00268"/>
    <x v="3"/>
    <x v="216"/>
    <d v="2022-04-20T00:00:00"/>
    <x v="5"/>
    <x v="2"/>
    <n v="613"/>
    <n v="20.38"/>
    <n v="20.170000000000002"/>
    <n v="58"/>
    <x v="0"/>
    <n v="9"/>
    <x v="267"/>
    <n v="12492.939999999999"/>
    <n v="128.72999999999774"/>
    <n v="1.0304219823356052E-2"/>
    <n v="9.461663947797716E-2"/>
    <s v="Partially Delivered"/>
    <s v="Status-Date Conflict"/>
  </r>
  <r>
    <s v="PO-00269"/>
    <x v="2"/>
    <x v="217"/>
    <d v="2022-03-16T00:00:00"/>
    <x v="3"/>
    <x v="2"/>
    <n v="1341"/>
    <n v="46.27"/>
    <n v="43.94"/>
    <n v="63"/>
    <x v="0"/>
    <n v="12"/>
    <x v="268"/>
    <n v="62048.070000000007"/>
    <n v="3124.5300000000134"/>
    <n v="5.035660255024875E-2"/>
    <n v="4.6979865771812082E-2"/>
    <s v="Partially Delivered"/>
    <s v="Status-Date Conflict"/>
  </r>
  <r>
    <s v="PO-00270"/>
    <x v="3"/>
    <x v="218"/>
    <d v="2023-03-04T00:00:00"/>
    <x v="1"/>
    <x v="2"/>
    <n v="1583"/>
    <n v="103.57"/>
    <n v="89.38"/>
    <n v="164"/>
    <x v="0"/>
    <n v="15"/>
    <x v="269"/>
    <n v="163951.31"/>
    <n v="22462.770000000019"/>
    <n v="0.13700878632808741"/>
    <n v="0.10360075805432722"/>
    <s v="Partially Delivered"/>
    <s v="Status-Date Conflict"/>
  </r>
  <r>
    <s v="PO-00271"/>
    <x v="3"/>
    <x v="219"/>
    <m/>
    <x v="3"/>
    <x v="0"/>
    <n v="1880"/>
    <n v="92.73"/>
    <n v="90.78"/>
    <n v="173"/>
    <x v="0"/>
    <s v=""/>
    <x v="270"/>
    <n v="174332.4"/>
    <n v="3666"/>
    <n v="2.1028793270786154E-2"/>
    <n v="9.2021276595744675E-2"/>
    <s v="Cancelled"/>
    <s v="OK"/>
  </r>
  <r>
    <s v="PO-00272"/>
    <x v="4"/>
    <x v="220"/>
    <d v="2022-04-26T00:00:00"/>
    <x v="1"/>
    <x v="1"/>
    <n v="1459"/>
    <n v="84.79"/>
    <n v="82.72"/>
    <n v="47"/>
    <x v="0"/>
    <n v="4"/>
    <x v="271"/>
    <n v="123708.61000000002"/>
    <n v="3020.1300000000192"/>
    <n v="2.4413256280221878E-2"/>
    <n v="3.2213845099383139E-2"/>
    <s v="On Time"/>
    <s v="OK"/>
  </r>
  <r>
    <s v="PO-00273"/>
    <x v="1"/>
    <x v="221"/>
    <m/>
    <x v="0"/>
    <x v="1"/>
    <n v="1460"/>
    <n v="34.54"/>
    <n v="31.87"/>
    <n v="208"/>
    <x v="1"/>
    <s v=""/>
    <x v="272"/>
    <n v="50428.4"/>
    <n v="3898.1999999999971"/>
    <n v="7.7301679212507177E-2"/>
    <n v="0.14246575342465753"/>
    <s v="Missing Delivery Date"/>
    <s v="Missing Delivery Date"/>
  </r>
  <r>
    <s v="PO-00274"/>
    <x v="3"/>
    <x v="56"/>
    <d v="2022-07-28T00:00:00"/>
    <x v="2"/>
    <x v="2"/>
    <n v="1186"/>
    <n v="26.14"/>
    <n v="24.78"/>
    <n v="112"/>
    <x v="0"/>
    <n v="12"/>
    <x v="273"/>
    <n v="31002.04"/>
    <n v="1612.9599999999991"/>
    <n v="5.2027543993879086E-2"/>
    <n v="9.4435075885328831E-2"/>
    <s v="Partially Delivered"/>
    <s v="Status-Date Conflict"/>
  </r>
  <r>
    <s v="PO-00275"/>
    <x v="4"/>
    <x v="205"/>
    <d v="2022-07-23T00:00:00"/>
    <x v="1"/>
    <x v="3"/>
    <n v="1686"/>
    <n v="72.28"/>
    <n v="65.209999999999994"/>
    <n v="53"/>
    <x v="0"/>
    <n v="9"/>
    <x v="274"/>
    <n v="121864.08"/>
    <n v="11920.020000000019"/>
    <n v="9.7814056447150119E-2"/>
    <n v="3.1435349940688022E-2"/>
    <s v="Pending"/>
    <s v="Status-Date Conflict"/>
  </r>
  <r>
    <s v="PO-00276"/>
    <x v="0"/>
    <x v="46"/>
    <d v="2023-07-08T00:00:00"/>
    <x v="1"/>
    <x v="1"/>
    <n v="1698"/>
    <n v="102.07"/>
    <n v="100.69"/>
    <n v="28"/>
    <x v="0"/>
    <n v="4"/>
    <x v="275"/>
    <n v="173314.86"/>
    <n v="2343.2399999999907"/>
    <n v="1.3520133241892766E-2"/>
    <n v="1.6489988221436984E-2"/>
    <s v="On Time"/>
    <s v="OK"/>
  </r>
  <r>
    <s v="PO-00277"/>
    <x v="4"/>
    <x v="27"/>
    <m/>
    <x v="5"/>
    <x v="1"/>
    <n v="1001"/>
    <n v="64.62"/>
    <n v="55.7"/>
    <n v="32"/>
    <x v="0"/>
    <s v=""/>
    <x v="276"/>
    <n v="64684.62"/>
    <n v="8928.9199999999983"/>
    <n v="0.13803775920767561"/>
    <n v="3.1968031968031968E-2"/>
    <s v="Missing Delivery Date"/>
    <s v="Missing Delivery Date"/>
  </r>
  <r>
    <s v="PO-00278"/>
    <x v="0"/>
    <x v="222"/>
    <d v="2022-05-27T00:00:00"/>
    <x v="0"/>
    <x v="1"/>
    <n v="1154"/>
    <n v="62.67"/>
    <n v="54.11"/>
    <n v="25"/>
    <x v="0"/>
    <n v="3"/>
    <x v="277"/>
    <n v="72321.180000000008"/>
    <n v="9878.2400000000052"/>
    <n v="0.13658847933620558"/>
    <n v="2.1663778162911613E-2"/>
    <s v="On Time"/>
    <s v="OK"/>
  </r>
  <r>
    <s v="PO-00279"/>
    <x v="0"/>
    <x v="12"/>
    <d v="2023-03-29T00:00:00"/>
    <x v="2"/>
    <x v="0"/>
    <n v="748"/>
    <n v="37.659999999999997"/>
    <n v="32.71"/>
    <m/>
    <x v="1"/>
    <n v="20"/>
    <x v="278"/>
    <n v="28169.679999999997"/>
    <n v="3702.5999999999949"/>
    <n v="0.13143919277748259"/>
    <n v="0"/>
    <s v="Cancelled"/>
    <s v="Status-Date Conflict"/>
  </r>
  <r>
    <s v="PO-00280"/>
    <x v="0"/>
    <x v="223"/>
    <m/>
    <x v="0"/>
    <x v="1"/>
    <n v="162"/>
    <n v="81.63"/>
    <n v="78.760000000000005"/>
    <n v="2"/>
    <x v="0"/>
    <s v=""/>
    <x v="279"/>
    <n v="13224.06"/>
    <n v="464.93999999999869"/>
    <n v="3.5158642655886217E-2"/>
    <n v="1.2345679012345678E-2"/>
    <s v="Missing Delivery Date"/>
    <s v="Missing Delivery Date"/>
  </r>
  <r>
    <s v="PO-00281"/>
    <x v="0"/>
    <x v="196"/>
    <d v="2022-10-24T00:00:00"/>
    <x v="2"/>
    <x v="1"/>
    <n v="51"/>
    <n v="28.04"/>
    <n v="24.13"/>
    <n v="0"/>
    <x v="0"/>
    <n v="11"/>
    <x v="280"/>
    <n v="1430.04"/>
    <n v="199.41000000000008"/>
    <n v="0.13944365192582031"/>
    <n v="0"/>
    <s v="Late"/>
    <s v="OK"/>
  </r>
  <r>
    <s v="PO-00282"/>
    <x v="1"/>
    <x v="81"/>
    <d v="2023-04-24T00:00:00"/>
    <x v="0"/>
    <x v="1"/>
    <n v="691"/>
    <n v="42.07"/>
    <n v="39.1"/>
    <n v="106"/>
    <x v="0"/>
    <n v="5"/>
    <x v="281"/>
    <n v="29070.37"/>
    <n v="2052.2699999999968"/>
    <n v="7.059662467316366E-2"/>
    <n v="0.15340086830680175"/>
    <s v="On Time"/>
    <s v="OK"/>
  </r>
  <r>
    <s v="PO-00283"/>
    <x v="3"/>
    <x v="224"/>
    <d v="2022-09-20T00:00:00"/>
    <x v="0"/>
    <x v="1"/>
    <n v="269"/>
    <n v="50.22"/>
    <n v="45.75"/>
    <n v="32"/>
    <x v="1"/>
    <n v="7"/>
    <x v="282"/>
    <n v="13509.18"/>
    <n v="1202.4300000000003"/>
    <n v="8.9008363201911606E-2"/>
    <n v="0.11895910780669144"/>
    <s v="On Time"/>
    <s v="OK"/>
  </r>
  <r>
    <s v="PO-00284"/>
    <x v="3"/>
    <x v="225"/>
    <d v="2022-04-06T00:00:00"/>
    <x v="5"/>
    <x v="3"/>
    <n v="1639"/>
    <n v="56.24"/>
    <n v="55.4"/>
    <n v="147"/>
    <x v="0"/>
    <n v="18"/>
    <x v="283"/>
    <n v="92177.36"/>
    <n v="1376.7600000000093"/>
    <n v="1.4935988620199247E-2"/>
    <n v="8.9688834655277605E-2"/>
    <s v="Pending"/>
    <s v="Status-Date Conflict"/>
  </r>
  <r>
    <s v="PO-00285"/>
    <x v="0"/>
    <x v="226"/>
    <d v="2023-04-06T00:00:00"/>
    <x v="3"/>
    <x v="1"/>
    <n v="904"/>
    <n v="34.04"/>
    <n v="30.06"/>
    <n v="26"/>
    <x v="0"/>
    <n v="7"/>
    <x v="284"/>
    <n v="30772.16"/>
    <n v="3597.9200000000019"/>
    <n v="0.1169212690951822"/>
    <n v="2.8761061946902654E-2"/>
    <s v="On Time"/>
    <s v="OK"/>
  </r>
  <r>
    <s v="PO-00286"/>
    <x v="3"/>
    <x v="227"/>
    <d v="2023-07-26T00:00:00"/>
    <x v="0"/>
    <x v="1"/>
    <n v="1809"/>
    <n v="22.17"/>
    <n v="19.649999999999999"/>
    <m/>
    <x v="0"/>
    <n v="8"/>
    <x v="285"/>
    <n v="40105.530000000006"/>
    <n v="4558.6800000000076"/>
    <n v="0.11366711772665782"/>
    <n v="0"/>
    <s v="On Time"/>
    <s v="OK"/>
  </r>
  <r>
    <s v="PO-00287"/>
    <x v="0"/>
    <x v="216"/>
    <d v="2022-04-16T00:00:00"/>
    <x v="2"/>
    <x v="1"/>
    <n v="1298"/>
    <n v="65.930000000000007"/>
    <n v="58.95"/>
    <m/>
    <x v="0"/>
    <n v="5"/>
    <x v="286"/>
    <n v="85577.140000000014"/>
    <n v="9060.0400000000081"/>
    <n v="0.10586986197482186"/>
    <n v="0"/>
    <s v="On Time"/>
    <s v="OK"/>
  </r>
  <r>
    <s v="PO-00288"/>
    <x v="3"/>
    <x v="228"/>
    <d v="2022-03-13T00:00:00"/>
    <x v="2"/>
    <x v="1"/>
    <n v="434"/>
    <n v="36.159999999999997"/>
    <n v="34.79"/>
    <n v="41"/>
    <x v="0"/>
    <n v="20"/>
    <x v="287"/>
    <n v="15693.439999999999"/>
    <n v="594.57999999999993"/>
    <n v="3.7887168141592917E-2"/>
    <n v="9.4470046082949302E-2"/>
    <s v="Late"/>
    <s v="OK"/>
  </r>
  <r>
    <s v="PO-00289"/>
    <x v="4"/>
    <x v="229"/>
    <d v="2023-11-04T00:00:00"/>
    <x v="5"/>
    <x v="1"/>
    <n v="1476"/>
    <n v="68.849999999999994"/>
    <n v="65.28"/>
    <n v="43"/>
    <x v="0"/>
    <n v="5"/>
    <x v="288"/>
    <n v="101622.59999999999"/>
    <n v="5269.3199999999924"/>
    <n v="5.1851851851851781E-2"/>
    <n v="2.9132791327913278E-2"/>
    <s v="On Time"/>
    <s v="OK"/>
  </r>
  <r>
    <s v="PO-00290"/>
    <x v="1"/>
    <x v="230"/>
    <m/>
    <x v="3"/>
    <x v="2"/>
    <n v="1711"/>
    <n v="26.04"/>
    <n v="24.81"/>
    <n v="290"/>
    <x v="0"/>
    <s v=""/>
    <x v="289"/>
    <n v="44554.439999999995"/>
    <n v="2104.5299999999988"/>
    <n v="4.723502304147463E-2"/>
    <n v="0.16949152542372881"/>
    <s v="Partially Delivered"/>
    <s v="OK"/>
  </r>
  <r>
    <s v="PO-00291"/>
    <x v="2"/>
    <x v="231"/>
    <d v="2022-01-22T00:00:00"/>
    <x v="2"/>
    <x v="1"/>
    <n v="1203"/>
    <n v="53.3"/>
    <n v="47.68"/>
    <n v="49"/>
    <x v="0"/>
    <n v="6"/>
    <x v="290"/>
    <n v="64119.899999999994"/>
    <n v="6760.8599999999933"/>
    <n v="0.10544090056285169"/>
    <n v="4.0731504571903575E-2"/>
    <s v="On Time"/>
    <s v="OK"/>
  </r>
  <r>
    <s v="PO-00292"/>
    <x v="0"/>
    <x v="15"/>
    <d v="2022-04-07T00:00:00"/>
    <x v="5"/>
    <x v="1"/>
    <n v="1126"/>
    <n v="58.8"/>
    <n v="52.22"/>
    <m/>
    <x v="0"/>
    <n v="1"/>
    <x v="291"/>
    <n v="66208.800000000003"/>
    <n v="7409.0800000000017"/>
    <n v="0.11190476190476192"/>
    <n v="0"/>
    <s v="On Time"/>
    <s v="OK"/>
  </r>
  <r>
    <s v="PO-00293"/>
    <x v="4"/>
    <x v="232"/>
    <d v="2022-09-12T00:00:00"/>
    <x v="2"/>
    <x v="1"/>
    <n v="1757"/>
    <n v="15.18"/>
    <n v="13.06"/>
    <n v="63"/>
    <x v="0"/>
    <n v="12"/>
    <x v="292"/>
    <n v="26671.26"/>
    <n v="3724.8399999999965"/>
    <n v="0.13965744400526997"/>
    <n v="3.5856573705179286E-2"/>
    <s v="Late"/>
    <s v="OK"/>
  </r>
  <r>
    <s v="PO-00294"/>
    <x v="4"/>
    <x v="233"/>
    <d v="2022-06-28T00:00:00"/>
    <x v="1"/>
    <x v="1"/>
    <n v="779"/>
    <n v="41.3"/>
    <n v="36.28"/>
    <n v="20"/>
    <x v="0"/>
    <n v="8"/>
    <x v="293"/>
    <n v="32172.699999999997"/>
    <n v="3910.5799999999945"/>
    <n v="0.12154963680387393"/>
    <n v="2.5673940949935817E-2"/>
    <s v="On Time"/>
    <s v="OK"/>
  </r>
  <r>
    <s v="PO-00295"/>
    <x v="1"/>
    <x v="204"/>
    <d v="2023-02-22T00:00:00"/>
    <x v="0"/>
    <x v="1"/>
    <n v="1745"/>
    <n v="23.53"/>
    <n v="22.57"/>
    <n v="282"/>
    <x v="1"/>
    <n v="1"/>
    <x v="294"/>
    <n v="41059.85"/>
    <n v="1675.1999999999971"/>
    <n v="4.0798980025499296E-2"/>
    <n v="0.16160458452722062"/>
    <s v="On Time"/>
    <s v="OK"/>
  </r>
  <r>
    <s v="PO-00296"/>
    <x v="1"/>
    <x v="159"/>
    <d v="2023-05-15T00:00:00"/>
    <x v="3"/>
    <x v="1"/>
    <n v="1783"/>
    <n v="16.96"/>
    <n v="15.8"/>
    <n v="295"/>
    <x v="0"/>
    <n v="2"/>
    <x v="295"/>
    <n v="30239.68"/>
    <n v="2068.2799999999988"/>
    <n v="6.8396226415094297E-2"/>
    <n v="0.16545148625911385"/>
    <s v="On Time"/>
    <s v="OK"/>
  </r>
  <r>
    <s v="PO-00297"/>
    <x v="0"/>
    <x v="234"/>
    <d v="2023-05-22T00:00:00"/>
    <x v="0"/>
    <x v="2"/>
    <n v="1489"/>
    <n v="107.02"/>
    <n v="93.3"/>
    <m/>
    <x v="0"/>
    <n v="14"/>
    <x v="296"/>
    <n v="159352.78"/>
    <n v="20429.080000000016"/>
    <n v="0.1282003363857224"/>
    <n v="0"/>
    <s v="Partially Delivered"/>
    <s v="Status-Date Conflict"/>
  </r>
  <r>
    <s v="PO-00298"/>
    <x v="0"/>
    <x v="235"/>
    <d v="2022-08-10T00:00:00"/>
    <x v="0"/>
    <x v="1"/>
    <n v="296"/>
    <n v="40.380000000000003"/>
    <n v="35.25"/>
    <m/>
    <x v="0"/>
    <n v="3"/>
    <x v="297"/>
    <n v="11952.480000000001"/>
    <n v="1518.4800000000014"/>
    <n v="0.12704309063893027"/>
    <n v="0"/>
    <s v="On Time"/>
    <s v="OK"/>
  </r>
  <r>
    <s v="PO-00299"/>
    <x v="4"/>
    <x v="93"/>
    <d v="2023-02-27T00:00:00"/>
    <x v="1"/>
    <x v="1"/>
    <n v="885"/>
    <n v="88.28"/>
    <n v="80.8"/>
    <n v="31"/>
    <x v="0"/>
    <n v="12"/>
    <x v="298"/>
    <n v="78127.8"/>
    <n v="6619.8000000000029"/>
    <n v="8.4730403262347112E-2"/>
    <n v="3.5028248587570622E-2"/>
    <s v="Late"/>
    <s v="OK"/>
  </r>
  <r>
    <s v="PO-00300"/>
    <x v="4"/>
    <x v="191"/>
    <d v="2022-03-06T00:00:00"/>
    <x v="3"/>
    <x v="3"/>
    <n v="1512"/>
    <n v="33.25"/>
    <n v="30.15"/>
    <n v="53"/>
    <x v="0"/>
    <n v="4"/>
    <x v="299"/>
    <n v="50274"/>
    <n v="4687.2000000000044"/>
    <n v="9.3233082706767001E-2"/>
    <n v="3.5052910052910051E-2"/>
    <s v="Pending"/>
    <s v="Status-Date Conflict"/>
  </r>
  <r>
    <s v="PO-00301"/>
    <x v="1"/>
    <x v="236"/>
    <d v="2022-06-26T00:00:00"/>
    <x v="0"/>
    <x v="1"/>
    <n v="252"/>
    <n v="73.12"/>
    <n v="67.64"/>
    <m/>
    <x v="1"/>
    <n v="8"/>
    <x v="300"/>
    <n v="18426.240000000002"/>
    <n v="1380.9600000000028"/>
    <n v="7.494529540481415E-2"/>
    <n v="0"/>
    <s v="On Time"/>
    <s v="OK"/>
  </r>
  <r>
    <s v="PO-00302"/>
    <x v="0"/>
    <x v="82"/>
    <m/>
    <x v="5"/>
    <x v="0"/>
    <n v="1257"/>
    <n v="83.13"/>
    <n v="81.89"/>
    <n v="30"/>
    <x v="0"/>
    <s v=""/>
    <x v="301"/>
    <n v="104494.40999999999"/>
    <n v="1558.679999999993"/>
    <n v="1.4916396006255198E-2"/>
    <n v="2.386634844868735E-2"/>
    <s v="Cancelled"/>
    <s v="OK"/>
  </r>
  <r>
    <s v="PO-00303"/>
    <x v="0"/>
    <x v="237"/>
    <d v="2022-01-20T00:00:00"/>
    <x v="2"/>
    <x v="1"/>
    <n v="172"/>
    <n v="63.61"/>
    <n v="55.92"/>
    <n v="4"/>
    <x v="0"/>
    <n v="17"/>
    <x v="302"/>
    <n v="10940.92"/>
    <n v="1322.6800000000003"/>
    <n v="0.12089294136142119"/>
    <n v="2.3255813953488372E-2"/>
    <s v="Late"/>
    <s v="OK"/>
  </r>
  <r>
    <s v="PO-00304"/>
    <x v="4"/>
    <x v="238"/>
    <d v="2023-02-05T00:00:00"/>
    <x v="2"/>
    <x v="3"/>
    <n v="450"/>
    <n v="55.85"/>
    <n v="49.88"/>
    <n v="9"/>
    <x v="0"/>
    <n v="1"/>
    <x v="303"/>
    <n v="25132.5"/>
    <n v="2686.5"/>
    <n v="0.10689346463742166"/>
    <n v="0.02"/>
    <s v="Pending"/>
    <s v="Status-Date Conflict"/>
  </r>
  <r>
    <s v="PO-00305"/>
    <x v="2"/>
    <x v="106"/>
    <d v="2022-10-15T00:00:00"/>
    <x v="5"/>
    <x v="1"/>
    <n v="816"/>
    <n v="48.95"/>
    <n v="43.42"/>
    <n v="45"/>
    <x v="0"/>
    <n v="16"/>
    <x v="304"/>
    <n v="39943.200000000004"/>
    <n v="4512.4800000000032"/>
    <n v="0.11297242083758945"/>
    <n v="5.514705882352941E-2"/>
    <s v="Late"/>
    <s v="OK"/>
  </r>
  <r>
    <s v="PO-00306"/>
    <x v="4"/>
    <x v="239"/>
    <d v="2023-04-25T00:00:00"/>
    <x v="2"/>
    <x v="1"/>
    <n v="343"/>
    <n v="44.5"/>
    <n v="38.57"/>
    <n v="7"/>
    <x v="0"/>
    <n v="14"/>
    <x v="305"/>
    <n v="15263.5"/>
    <n v="2033.9899999999998"/>
    <n v="0.13325842696629212"/>
    <n v="2.0408163265306121E-2"/>
    <s v="Late"/>
    <s v="OK"/>
  </r>
  <r>
    <s v="PO-00307"/>
    <x v="2"/>
    <x v="240"/>
    <d v="2022-11-05T00:00:00"/>
    <x v="1"/>
    <x v="1"/>
    <n v="329"/>
    <n v="97.87"/>
    <n v="85.35"/>
    <n v="21"/>
    <x v="1"/>
    <n v="16"/>
    <x v="306"/>
    <n v="32199.230000000003"/>
    <n v="4119.0800000000054"/>
    <n v="0.12792479820169628"/>
    <n v="6.3829787234042548E-2"/>
    <s v="Late"/>
    <s v="OK"/>
  </r>
  <r>
    <s v="PO-00308"/>
    <x v="0"/>
    <x v="170"/>
    <d v="2023-03-25T00:00:00"/>
    <x v="5"/>
    <x v="1"/>
    <n v="1910"/>
    <n v="90.69"/>
    <n v="85.8"/>
    <m/>
    <x v="0"/>
    <n v="15"/>
    <x v="307"/>
    <n v="173217.9"/>
    <n v="9339.8999999999942"/>
    <n v="5.391994707244456E-2"/>
    <n v="0"/>
    <s v="Late"/>
    <s v="OK"/>
  </r>
  <r>
    <s v="PO-00309"/>
    <x v="4"/>
    <x v="241"/>
    <d v="2023-12-18T00:00:00"/>
    <x v="1"/>
    <x v="1"/>
    <n v="933"/>
    <n v="107.99"/>
    <n v="104.29"/>
    <n v="29"/>
    <x v="0"/>
    <n v="3"/>
    <x v="308"/>
    <n v="100754.67"/>
    <n v="3452.0999999999913"/>
    <n v="3.4262431706639417E-2"/>
    <n v="3.1082529474812434E-2"/>
    <s v="On Time"/>
    <s v="OK"/>
  </r>
  <r>
    <s v="PO-00310"/>
    <x v="1"/>
    <x v="242"/>
    <d v="2023-07-29T00:00:00"/>
    <x v="3"/>
    <x v="1"/>
    <n v="1683"/>
    <n v="23.09"/>
    <n v="21.88"/>
    <n v="253"/>
    <x v="0"/>
    <n v="5"/>
    <x v="309"/>
    <n v="38860.47"/>
    <n v="2036.4300000000003"/>
    <n v="5.2403637938501522E-2"/>
    <n v="0.15032679738562091"/>
    <s v="On Time"/>
    <s v="OK"/>
  </r>
  <r>
    <s v="PO-00311"/>
    <x v="3"/>
    <x v="60"/>
    <d v="2023-11-18T00:00:00"/>
    <x v="2"/>
    <x v="3"/>
    <n v="247"/>
    <n v="84.11"/>
    <n v="71.97"/>
    <m/>
    <x v="0"/>
    <n v="9"/>
    <x v="310"/>
    <n v="20775.169999999998"/>
    <n v="2998.5799999999981"/>
    <n v="0.14433479966710253"/>
    <n v="0"/>
    <s v="Pending"/>
    <s v="Status-Date Conflict"/>
  </r>
  <r>
    <s v="PO-00312"/>
    <x v="0"/>
    <x v="243"/>
    <d v="2023-06-02T00:00:00"/>
    <x v="1"/>
    <x v="1"/>
    <n v="1031"/>
    <n v="102.01"/>
    <n v="98.65"/>
    <m/>
    <x v="0"/>
    <n v="19"/>
    <x v="311"/>
    <n v="105172.31000000001"/>
    <n v="3464.1600000000035"/>
    <n v="3.293794726007257E-2"/>
    <n v="0"/>
    <s v="Late"/>
    <s v="OK"/>
  </r>
  <r>
    <s v="PO-00313"/>
    <x v="0"/>
    <x v="244"/>
    <d v="2022-06-19T00:00:00"/>
    <x v="2"/>
    <x v="1"/>
    <n v="1980"/>
    <n v="26.97"/>
    <n v="24.16"/>
    <n v="41"/>
    <x v="0"/>
    <n v="11"/>
    <x v="312"/>
    <n v="53400.6"/>
    <n v="5563.7999999999956"/>
    <n v="0.1041898405635891"/>
    <n v="2.0707070707070709E-2"/>
    <s v="Late"/>
    <s v="OK"/>
  </r>
  <r>
    <s v="PO-00314"/>
    <x v="4"/>
    <x v="205"/>
    <d v="2022-08-03T00:00:00"/>
    <x v="3"/>
    <x v="1"/>
    <n v="1584"/>
    <n v="16.46"/>
    <n v="14.2"/>
    <n v="57"/>
    <x v="0"/>
    <n v="20"/>
    <x v="313"/>
    <n v="26072.640000000003"/>
    <n v="3579.8400000000038"/>
    <n v="0.13730255164034036"/>
    <n v="3.5984848484848488E-2"/>
    <s v="Late"/>
    <s v="OK"/>
  </r>
  <r>
    <s v="PO-00315"/>
    <x v="3"/>
    <x v="245"/>
    <d v="2022-11-15T00:00:00"/>
    <x v="0"/>
    <x v="1"/>
    <n v="801"/>
    <n v="80.150000000000006"/>
    <n v="70.91"/>
    <m/>
    <x v="0"/>
    <n v="15"/>
    <x v="314"/>
    <n v="64200.15"/>
    <n v="7401.2400000000052"/>
    <n v="0.11528384279475991"/>
    <n v="0"/>
    <s v="Late"/>
    <s v="OK"/>
  </r>
  <r>
    <s v="PO-00316"/>
    <x v="3"/>
    <x v="246"/>
    <d v="2022-08-25T00:00:00"/>
    <x v="2"/>
    <x v="1"/>
    <n v="193"/>
    <n v="63.86"/>
    <n v="57.46"/>
    <m/>
    <x v="0"/>
    <n v="14"/>
    <x v="315"/>
    <n v="12324.98"/>
    <n v="1235.1999999999989"/>
    <n v="0.10021922956467263"/>
    <n v="0"/>
    <s v="Late"/>
    <s v="OK"/>
  </r>
  <r>
    <s v="PO-00317"/>
    <x v="3"/>
    <x v="156"/>
    <d v="2022-03-05T00:00:00"/>
    <x v="3"/>
    <x v="1"/>
    <n v="658"/>
    <n v="86.62"/>
    <n v="79.849999999999994"/>
    <n v="72"/>
    <x v="0"/>
    <n v="4"/>
    <x v="316"/>
    <n v="56995.960000000006"/>
    <n v="4454.6600000000108"/>
    <n v="7.815746940660373E-2"/>
    <n v="0.10942249240121581"/>
    <s v="On Time"/>
    <s v="OK"/>
  </r>
  <r>
    <s v="PO-00318"/>
    <x v="4"/>
    <x v="247"/>
    <d v="2023-09-04T00:00:00"/>
    <x v="5"/>
    <x v="1"/>
    <n v="1274"/>
    <n v="24.72"/>
    <n v="23.36"/>
    <n v="37"/>
    <x v="0"/>
    <n v="18"/>
    <x v="317"/>
    <n v="31493.279999999999"/>
    <n v="1732.6399999999994"/>
    <n v="5.5016181229773448E-2"/>
    <n v="2.9042386185243328E-2"/>
    <s v="Late"/>
    <s v="OK"/>
  </r>
  <r>
    <s v="PO-00319"/>
    <x v="4"/>
    <x v="248"/>
    <d v="2023-07-17T00:00:00"/>
    <x v="2"/>
    <x v="2"/>
    <n v="1197"/>
    <n v="88.92"/>
    <n v="78.819999999999993"/>
    <n v="31"/>
    <x v="0"/>
    <n v="7"/>
    <x v="318"/>
    <n v="106437.24"/>
    <n v="12089.700000000012"/>
    <n v="0.11358524516419263"/>
    <n v="2.5898078529657476E-2"/>
    <s v="Partially Delivered"/>
    <s v="Status-Date Conflict"/>
  </r>
  <r>
    <s v="PO-00320"/>
    <x v="2"/>
    <x v="217"/>
    <d v="2022-03-12T00:00:00"/>
    <x v="5"/>
    <x v="1"/>
    <n v="236"/>
    <n v="28.43"/>
    <n v="28.11"/>
    <n v="11"/>
    <x v="0"/>
    <n v="8"/>
    <x v="319"/>
    <n v="6709.48"/>
    <n v="75.519999999999527"/>
    <n v="1.1255715793176153E-2"/>
    <n v="4.6610169491525424E-2"/>
    <s v="On Time"/>
    <s v="OK"/>
  </r>
  <r>
    <s v="PO-00321"/>
    <x v="2"/>
    <x v="249"/>
    <d v="2022-12-03T00:00:00"/>
    <x v="3"/>
    <x v="2"/>
    <n v="1399"/>
    <n v="25.97"/>
    <n v="22.19"/>
    <n v="62"/>
    <x v="0"/>
    <n v="15"/>
    <x v="320"/>
    <n v="36332.03"/>
    <n v="5288.2199999999975"/>
    <n v="0.1455525606469002"/>
    <n v="4.431736954967834E-2"/>
    <s v="Partially Delivered"/>
    <s v="Status-Date Conflict"/>
  </r>
  <r>
    <s v="PO-00322"/>
    <x v="2"/>
    <x v="250"/>
    <d v="2022-03-04T00:00:00"/>
    <x v="5"/>
    <x v="1"/>
    <n v="513"/>
    <n v="24.91"/>
    <n v="22.58"/>
    <n v="29"/>
    <x v="0"/>
    <n v="4"/>
    <x v="321"/>
    <n v="12778.83"/>
    <n v="1195.2900000000009"/>
    <n v="9.3536732236049844E-2"/>
    <n v="5.6530214424951264E-2"/>
    <s v="On Time"/>
    <s v="OK"/>
  </r>
  <r>
    <s v="PO-00323"/>
    <x v="1"/>
    <x v="228"/>
    <d v="2022-03-04T00:00:00"/>
    <x v="1"/>
    <x v="1"/>
    <n v="1422"/>
    <n v="83.73"/>
    <n v="76.47"/>
    <n v="198"/>
    <x v="0"/>
    <n v="11"/>
    <x v="322"/>
    <n v="119064.06000000001"/>
    <n v="10323.720000000016"/>
    <n v="8.6707273378717434E-2"/>
    <n v="0.13924050632911392"/>
    <s v="Late"/>
    <s v="OK"/>
  </r>
  <r>
    <s v="PO-00324"/>
    <x v="0"/>
    <x v="110"/>
    <d v="2023-09-03T00:00:00"/>
    <x v="0"/>
    <x v="1"/>
    <n v="1844"/>
    <n v="76.510000000000005"/>
    <n v="73.05"/>
    <m/>
    <x v="0"/>
    <n v="12"/>
    <x v="323"/>
    <n v="141084.44"/>
    <n v="6380.2400000000198"/>
    <n v="4.5222846686707757E-2"/>
    <n v="0"/>
    <s v="Late"/>
    <s v="OK"/>
  </r>
  <r>
    <s v="PO-00325"/>
    <x v="2"/>
    <x v="251"/>
    <m/>
    <x v="5"/>
    <x v="1"/>
    <n v="709"/>
    <n v="61.64"/>
    <n v="54.55"/>
    <n v="41"/>
    <x v="0"/>
    <s v=""/>
    <x v="324"/>
    <n v="43702.76"/>
    <n v="5026.8100000000049"/>
    <n v="0.11502271252433495"/>
    <n v="5.7827926657263752E-2"/>
    <s v="Missing Delivery Date"/>
    <s v="Missing Delivery Date"/>
  </r>
  <r>
    <s v="PO-00326"/>
    <x v="1"/>
    <x v="252"/>
    <d v="2023-06-15T00:00:00"/>
    <x v="1"/>
    <x v="1"/>
    <n v="813"/>
    <n v="45.68"/>
    <n v="41.78"/>
    <m/>
    <x v="1"/>
    <n v="16"/>
    <x v="325"/>
    <n v="37137.839999999997"/>
    <n v="3170.6999999999971"/>
    <n v="8.5376532399299404E-2"/>
    <n v="0"/>
    <s v="Late"/>
    <s v="OK"/>
  </r>
  <r>
    <s v="PO-00327"/>
    <x v="1"/>
    <x v="147"/>
    <d v="2023-07-01T00:00:00"/>
    <x v="0"/>
    <x v="1"/>
    <n v="1004"/>
    <n v="96.51"/>
    <n v="92.9"/>
    <n v="146"/>
    <x v="1"/>
    <n v="3"/>
    <x v="326"/>
    <n v="96896.040000000008"/>
    <n v="3624.4400000000023"/>
    <n v="3.740545021241324E-2"/>
    <n v="0.1454183266932271"/>
    <s v="On Time"/>
    <s v="OK"/>
  </r>
  <r>
    <s v="PO-00328"/>
    <x v="4"/>
    <x v="136"/>
    <d v="2022-06-15T00:00:00"/>
    <x v="3"/>
    <x v="1"/>
    <n v="452"/>
    <n v="46.45"/>
    <n v="40.39"/>
    <n v="9"/>
    <x v="0"/>
    <n v="4"/>
    <x v="327"/>
    <n v="20995.4"/>
    <n v="2739.1200000000026"/>
    <n v="0.13046286329386447"/>
    <n v="1.9911504424778761E-2"/>
    <s v="On Time"/>
    <s v="OK"/>
  </r>
  <r>
    <s v="PO-00329"/>
    <x v="3"/>
    <x v="250"/>
    <d v="2022-03-12T00:00:00"/>
    <x v="3"/>
    <x v="3"/>
    <n v="1419"/>
    <n v="83.91"/>
    <n v="71.459999999999994"/>
    <n v="137"/>
    <x v="0"/>
    <n v="12"/>
    <x v="328"/>
    <n v="119068.29"/>
    <n v="17666.550000000003"/>
    <n v="0.14837325706113696"/>
    <n v="9.654686398872446E-2"/>
    <s v="Pending"/>
    <s v="Status-Date Conflict"/>
  </r>
  <r>
    <s v="PO-00330"/>
    <x v="3"/>
    <x v="253"/>
    <d v="2023-06-23T00:00:00"/>
    <x v="2"/>
    <x v="1"/>
    <n v="1584"/>
    <n v="53.73"/>
    <n v="51.92"/>
    <n v="167"/>
    <x v="1"/>
    <n v="18"/>
    <x v="329"/>
    <n v="85108.319999999992"/>
    <n v="2867.0399999999936"/>
    <n v="3.3686953284943165E-2"/>
    <n v="0.10542929292929293"/>
    <s v="Late"/>
    <s v="OK"/>
  </r>
  <r>
    <s v="PO-00331"/>
    <x v="2"/>
    <x v="254"/>
    <d v="2022-04-11T00:00:00"/>
    <x v="1"/>
    <x v="3"/>
    <n v="196"/>
    <n v="44.36"/>
    <n v="43.81"/>
    <n v="6"/>
    <x v="0"/>
    <n v="18"/>
    <x v="330"/>
    <n v="8694.56"/>
    <n v="107.79999999999927"/>
    <n v="1.2398557258791621E-2"/>
    <n v="3.0612244897959183E-2"/>
    <s v="Pending"/>
    <s v="Status-Date Conflict"/>
  </r>
  <r>
    <s v="PO-00332"/>
    <x v="0"/>
    <x v="255"/>
    <d v="2022-07-14T00:00:00"/>
    <x v="0"/>
    <x v="1"/>
    <n v="1221"/>
    <n v="53.19"/>
    <n v="46.18"/>
    <n v="29"/>
    <x v="0"/>
    <n v="4"/>
    <x v="331"/>
    <n v="64944.99"/>
    <n v="8559.2099999999991"/>
    <n v="0.13179169016732467"/>
    <n v="2.375102375102375E-2"/>
    <s v="On Time"/>
    <s v="OK"/>
  </r>
  <r>
    <s v="PO-00333"/>
    <x v="0"/>
    <x v="160"/>
    <d v="2022-03-26T00:00:00"/>
    <x v="2"/>
    <x v="1"/>
    <n v="913"/>
    <n v="37.5"/>
    <n v="36.200000000000003"/>
    <m/>
    <x v="0"/>
    <n v="14"/>
    <x v="332"/>
    <n v="34237.5"/>
    <n v="1186.8999999999942"/>
    <n v="3.4666666666666499E-2"/>
    <n v="0"/>
    <s v="Late"/>
    <s v="OK"/>
  </r>
  <r>
    <s v="PO-00334"/>
    <x v="0"/>
    <x v="256"/>
    <d v="2023-09-04T00:00:00"/>
    <x v="2"/>
    <x v="1"/>
    <n v="1784"/>
    <n v="85.01"/>
    <n v="76.69"/>
    <n v="37"/>
    <x v="0"/>
    <n v="2"/>
    <x v="333"/>
    <n v="151657.84"/>
    <n v="14842.880000000005"/>
    <n v="9.7870838724855927E-2"/>
    <n v="2.0739910313901346E-2"/>
    <s v="On Time"/>
    <s v="OK"/>
  </r>
  <r>
    <s v="PO-00335"/>
    <x v="1"/>
    <x v="192"/>
    <m/>
    <x v="3"/>
    <x v="1"/>
    <n v="1893"/>
    <n v="55.8"/>
    <n v="52.35"/>
    <m/>
    <x v="0"/>
    <s v=""/>
    <x v="334"/>
    <n v="105629.4"/>
    <n v="6530.8499999999913"/>
    <n v="6.1827956989247229E-2"/>
    <n v="0"/>
    <s v="Missing Delivery Date"/>
    <s v="Missing Delivery Date"/>
  </r>
  <r>
    <s v="PO-00336"/>
    <x v="1"/>
    <x v="257"/>
    <d v="2023-12-05T00:00:00"/>
    <x v="5"/>
    <x v="3"/>
    <n v="538"/>
    <n v="34.299999999999997"/>
    <n v="32.25"/>
    <n v="84"/>
    <x v="1"/>
    <n v="12"/>
    <x v="335"/>
    <n v="18453.399999999998"/>
    <n v="1102.8999999999978"/>
    <n v="5.9766763848396388E-2"/>
    <n v="0.15613382899628253"/>
    <s v="Pending"/>
    <s v="Status-Date Conflict"/>
  </r>
  <r>
    <s v="PO-00337"/>
    <x v="1"/>
    <x v="258"/>
    <d v="2022-09-15T00:00:00"/>
    <x v="0"/>
    <x v="3"/>
    <n v="978"/>
    <n v="94.15"/>
    <n v="87.7"/>
    <n v="149"/>
    <x v="1"/>
    <n v="17"/>
    <x v="336"/>
    <n v="92078.700000000012"/>
    <n v="6308.1000000000058"/>
    <n v="6.8507700477960759E-2"/>
    <n v="0.15235173824130879"/>
    <s v="Pending"/>
    <s v="Status-Date Conflict"/>
  </r>
  <r>
    <s v="PO-00338"/>
    <x v="4"/>
    <x v="259"/>
    <d v="2023-03-06T00:00:00"/>
    <x v="3"/>
    <x v="0"/>
    <n v="1713"/>
    <n v="47.45"/>
    <n v="42.05"/>
    <n v="53"/>
    <x v="0"/>
    <n v="16"/>
    <x v="337"/>
    <n v="81281.850000000006"/>
    <n v="9250.2000000000116"/>
    <n v="0.11380400421496326"/>
    <n v="3.0939871570344425E-2"/>
    <s v="Cancelled"/>
    <s v="Status-Date Conflict"/>
  </r>
  <r>
    <s v="PO-00339"/>
    <x v="1"/>
    <x v="260"/>
    <d v="2022-05-07T00:00:00"/>
    <x v="3"/>
    <x v="3"/>
    <n v="600"/>
    <n v="60.1"/>
    <n v="57.92"/>
    <n v="95"/>
    <x v="1"/>
    <n v="4"/>
    <x v="338"/>
    <n v="36060"/>
    <n v="1308"/>
    <n v="3.6272878535773712E-2"/>
    <n v="0.15833333333333333"/>
    <s v="Pending"/>
    <s v="Status-Date Conflict"/>
  </r>
  <r>
    <s v="PO-00340"/>
    <x v="0"/>
    <x v="261"/>
    <d v="2023-08-25T00:00:00"/>
    <x v="5"/>
    <x v="3"/>
    <n v="387"/>
    <n v="100.28"/>
    <n v="85.54"/>
    <n v="5"/>
    <x v="0"/>
    <n v="18"/>
    <x v="339"/>
    <n v="38808.36"/>
    <n v="5704.3799999999974"/>
    <n v="0.14698843238930986"/>
    <n v="1.2919896640826873E-2"/>
    <s v="Pending"/>
    <s v="Status-Date Conflict"/>
  </r>
  <r>
    <s v="PO-00341"/>
    <x v="0"/>
    <x v="107"/>
    <d v="2022-09-19T00:00:00"/>
    <x v="1"/>
    <x v="3"/>
    <n v="921"/>
    <n v="68.83"/>
    <n v="59.13"/>
    <n v="22"/>
    <x v="0"/>
    <n v="9"/>
    <x v="340"/>
    <n v="63392.43"/>
    <n v="8933.6999999999971"/>
    <n v="0.14092692140055205"/>
    <n v="2.3887079261672096E-2"/>
    <s v="Pending"/>
    <s v="Status-Date Conflict"/>
  </r>
  <r>
    <s v="PO-00342"/>
    <x v="3"/>
    <x v="262"/>
    <d v="2023-08-30T00:00:00"/>
    <x v="1"/>
    <x v="1"/>
    <n v="690"/>
    <n v="22.47"/>
    <n v="21.94"/>
    <n v="77"/>
    <x v="0"/>
    <n v="14"/>
    <x v="341"/>
    <n v="15504.3"/>
    <n v="365.69999999999891"/>
    <n v="2.3587004895416042E-2"/>
    <n v="0.11159420289855072"/>
    <s v="Late"/>
    <s v="OK"/>
  </r>
  <r>
    <s v="PO-00343"/>
    <x v="0"/>
    <x v="263"/>
    <d v="2023-09-21T00:00:00"/>
    <x v="0"/>
    <x v="0"/>
    <n v="1852"/>
    <n v="104.04"/>
    <n v="94.89"/>
    <n v="36"/>
    <x v="0"/>
    <n v="20"/>
    <x v="342"/>
    <n v="192682.08000000002"/>
    <n v="16945.800000000017"/>
    <n v="8.7946943483275752E-2"/>
    <n v="1.9438444924406047E-2"/>
    <s v="Cancelled"/>
    <s v="Status-Date Conflict"/>
  </r>
  <r>
    <s v="PO-00344"/>
    <x v="1"/>
    <x v="264"/>
    <d v="2022-02-28T00:00:00"/>
    <x v="5"/>
    <x v="1"/>
    <n v="522"/>
    <n v="66.83"/>
    <n v="58.01"/>
    <n v="74"/>
    <x v="0"/>
    <n v="18"/>
    <x v="343"/>
    <n v="34885.26"/>
    <n v="4604.0400000000045"/>
    <n v="0.13197665718988491"/>
    <n v="0.1417624521072797"/>
    <s v="Late"/>
    <s v="OK"/>
  </r>
  <r>
    <s v="PO-00345"/>
    <x v="1"/>
    <x v="265"/>
    <d v="2023-10-06T00:00:00"/>
    <x v="5"/>
    <x v="1"/>
    <n v="200"/>
    <n v="44.16"/>
    <n v="43.13"/>
    <n v="21"/>
    <x v="0"/>
    <n v="9"/>
    <x v="344"/>
    <n v="8832"/>
    <n v="206"/>
    <n v="2.332427536231884E-2"/>
    <n v="0.105"/>
    <s v="On Time"/>
    <s v="OK"/>
  </r>
  <r>
    <s v="PO-00346"/>
    <x v="2"/>
    <x v="266"/>
    <d v="2022-04-03T00:00:00"/>
    <x v="2"/>
    <x v="1"/>
    <n v="1488"/>
    <n v="22.76"/>
    <n v="21.99"/>
    <m/>
    <x v="0"/>
    <n v="9"/>
    <x v="345"/>
    <n v="33866.880000000005"/>
    <n v="1145.7600000000057"/>
    <n v="3.3831282952548496E-2"/>
    <n v="0"/>
    <s v="On Time"/>
    <s v="OK"/>
  </r>
  <r>
    <s v="PO-00347"/>
    <x v="4"/>
    <x v="25"/>
    <d v="2023-03-16T00:00:00"/>
    <x v="5"/>
    <x v="1"/>
    <n v="1371"/>
    <n v="87.16"/>
    <n v="78.13"/>
    <n v="43"/>
    <x v="0"/>
    <n v="10"/>
    <x v="346"/>
    <n v="119496.36"/>
    <n v="12380.130000000005"/>
    <n v="0.10360256998623225"/>
    <n v="3.1363967906637494E-2"/>
    <s v="On Time"/>
    <s v="OK"/>
  </r>
  <r>
    <s v="PO-00348"/>
    <x v="0"/>
    <x v="267"/>
    <m/>
    <x v="0"/>
    <x v="1"/>
    <n v="1684"/>
    <n v="73.05"/>
    <n v="62.53"/>
    <m/>
    <x v="0"/>
    <s v=""/>
    <x v="347"/>
    <n v="123016.2"/>
    <n v="17715.679999999993"/>
    <n v="0.14401095140314848"/>
    <n v="0"/>
    <s v="Missing Delivery Date"/>
    <s v="Missing Delivery Date"/>
  </r>
  <r>
    <s v="PO-00349"/>
    <x v="4"/>
    <x v="112"/>
    <d v="2023-08-27T00:00:00"/>
    <x v="5"/>
    <x v="1"/>
    <n v="312"/>
    <n v="63.52"/>
    <n v="58.09"/>
    <m/>
    <x v="0"/>
    <n v="6"/>
    <x v="348"/>
    <n v="19818.240000000002"/>
    <n v="1694.1599999999999"/>
    <n v="8.548488664987404E-2"/>
    <n v="0"/>
    <s v="On Time"/>
    <s v="OK"/>
  </r>
  <r>
    <s v="PO-00350"/>
    <x v="0"/>
    <x v="268"/>
    <d v="2023-08-21T00:00:00"/>
    <x v="2"/>
    <x v="0"/>
    <n v="1837"/>
    <n v="99.04"/>
    <n v="86.51"/>
    <n v="39"/>
    <x v="0"/>
    <n v="19"/>
    <x v="349"/>
    <n v="181936.48"/>
    <n v="23017.610000000015"/>
    <n v="0.12651453957996778"/>
    <n v="2.1230266739248774E-2"/>
    <s v="Cancelled"/>
    <s v="Status-Date Conflict"/>
  </r>
  <r>
    <s v="PO-00351"/>
    <x v="3"/>
    <x v="269"/>
    <d v="2023-06-23T00:00:00"/>
    <x v="1"/>
    <x v="1"/>
    <n v="193"/>
    <n v="87.86"/>
    <n v="81.739999999999995"/>
    <n v="21"/>
    <x v="0"/>
    <n v="3"/>
    <x v="350"/>
    <n v="16956.98"/>
    <n v="1181.1599999999999"/>
    <n v="6.9656271340769405E-2"/>
    <n v="0.10880829015544041"/>
    <s v="On Time"/>
    <s v="OK"/>
  </r>
  <r>
    <s v="PO-00352"/>
    <x v="3"/>
    <x v="92"/>
    <d v="2022-11-21T00:00:00"/>
    <x v="5"/>
    <x v="1"/>
    <n v="395"/>
    <n v="24.83"/>
    <n v="23.96"/>
    <n v="31"/>
    <x v="0"/>
    <n v="1"/>
    <x v="351"/>
    <n v="9807.8499999999985"/>
    <n v="343.64999999999782"/>
    <n v="3.5038260169150001E-2"/>
    <n v="7.848101265822785E-2"/>
    <s v="On Time"/>
    <s v="OK"/>
  </r>
  <r>
    <s v="PO-00353"/>
    <x v="4"/>
    <x v="270"/>
    <d v="2022-10-12T00:00:00"/>
    <x v="5"/>
    <x v="0"/>
    <n v="673"/>
    <n v="39.58"/>
    <n v="35.83"/>
    <n v="25"/>
    <x v="0"/>
    <n v="17"/>
    <x v="352"/>
    <n v="26637.34"/>
    <n v="2523.75"/>
    <n v="9.4744820616472963E-2"/>
    <n v="3.7147102526002972E-2"/>
    <s v="Cancelled"/>
    <s v="Status-Date Conflict"/>
  </r>
  <r>
    <s v="PO-00354"/>
    <x v="1"/>
    <x v="271"/>
    <d v="2022-08-12T00:00:00"/>
    <x v="0"/>
    <x v="0"/>
    <n v="1066"/>
    <n v="33.33"/>
    <n v="28.47"/>
    <n v="162"/>
    <x v="1"/>
    <n v="14"/>
    <x v="353"/>
    <n v="35529.78"/>
    <n v="5180.7599999999984"/>
    <n v="0.14581458145814577"/>
    <n v="0.15196998123827393"/>
    <s v="Cancelled"/>
    <s v="Status-Date Conflict"/>
  </r>
  <r>
    <s v="PO-00355"/>
    <x v="2"/>
    <x v="197"/>
    <d v="2023-11-23T00:00:00"/>
    <x v="2"/>
    <x v="1"/>
    <n v="1645"/>
    <n v="85.42"/>
    <n v="80.78"/>
    <n v="73"/>
    <x v="1"/>
    <n v="6"/>
    <x v="354"/>
    <n v="140515.9"/>
    <n v="7632.7999999999884"/>
    <n v="5.4319831421212751E-2"/>
    <n v="4.4376899696048633E-2"/>
    <s v="On Time"/>
    <s v="OK"/>
  </r>
  <r>
    <s v="PO-00356"/>
    <x v="0"/>
    <x v="249"/>
    <d v="2022-11-29T00:00:00"/>
    <x v="5"/>
    <x v="1"/>
    <n v="930"/>
    <n v="13.67"/>
    <n v="11.95"/>
    <n v="16"/>
    <x v="0"/>
    <n v="11"/>
    <x v="355"/>
    <n v="12713.1"/>
    <n v="1599.6000000000004"/>
    <n v="0.12582297000731532"/>
    <n v="1.7204301075268817E-2"/>
    <s v="Late"/>
    <s v="OK"/>
  </r>
  <r>
    <s v="PO-00357"/>
    <x v="0"/>
    <x v="272"/>
    <d v="2022-09-21T00:00:00"/>
    <x v="0"/>
    <x v="1"/>
    <n v="51"/>
    <n v="63.74"/>
    <n v="56.1"/>
    <n v="0"/>
    <x v="0"/>
    <n v="19"/>
    <x v="356"/>
    <n v="3250.7400000000002"/>
    <n v="389.64000000000033"/>
    <n v="0.1198619391277064"/>
    <n v="0"/>
    <s v="Late"/>
    <s v="OK"/>
  </r>
  <r>
    <s v="PO-00358"/>
    <x v="2"/>
    <x v="106"/>
    <d v="2022-10-01T00:00:00"/>
    <x v="2"/>
    <x v="1"/>
    <n v="946"/>
    <n v="81.77"/>
    <n v="71.650000000000006"/>
    <n v="55"/>
    <x v="0"/>
    <n v="2"/>
    <x v="357"/>
    <n v="77354.42"/>
    <n v="9573.5199999999895"/>
    <n v="0.12376177082059421"/>
    <n v="5.8139534883720929E-2"/>
    <s v="On Time"/>
    <s v="OK"/>
  </r>
  <r>
    <s v="PO-00359"/>
    <x v="4"/>
    <x v="102"/>
    <d v="2023-03-02T00:00:00"/>
    <x v="3"/>
    <x v="2"/>
    <n v="1377"/>
    <n v="94.69"/>
    <n v="84.2"/>
    <m/>
    <x v="0"/>
    <n v="20"/>
    <x v="358"/>
    <n v="130388.12999999999"/>
    <n v="14444.729999999981"/>
    <n v="0.11078255359594452"/>
    <n v="0"/>
    <s v="Partially Delivered"/>
    <s v="Status-Date Conflict"/>
  </r>
  <r>
    <s v="PO-00360"/>
    <x v="4"/>
    <x v="273"/>
    <d v="2022-05-18T00:00:00"/>
    <x v="2"/>
    <x v="0"/>
    <n v="303"/>
    <n v="41.6"/>
    <n v="40.51"/>
    <n v="11"/>
    <x v="0"/>
    <n v="3"/>
    <x v="359"/>
    <n v="12604.800000000001"/>
    <n v="330.27000000000226"/>
    <n v="2.6201923076923254E-2"/>
    <n v="3.6303630363036306E-2"/>
    <s v="Cancelled"/>
    <s v="Status-Date Conflict"/>
  </r>
  <r>
    <s v="PO-00361"/>
    <x v="0"/>
    <x v="175"/>
    <d v="2023-12-03T00:00:00"/>
    <x v="3"/>
    <x v="1"/>
    <n v="1725"/>
    <n v="93.14"/>
    <n v="79.62"/>
    <n v="24"/>
    <x v="0"/>
    <n v="14"/>
    <x v="360"/>
    <n v="160666.5"/>
    <n v="23322"/>
    <n v="0.14515782692720636"/>
    <n v="1.391304347826087E-2"/>
    <s v="Late"/>
    <s v="OK"/>
  </r>
  <r>
    <s v="PO-00362"/>
    <x v="3"/>
    <x v="274"/>
    <d v="2023-11-07T00:00:00"/>
    <x v="3"/>
    <x v="0"/>
    <n v="502"/>
    <n v="22.05"/>
    <n v="20.65"/>
    <n v="50"/>
    <x v="1"/>
    <n v="15"/>
    <x v="361"/>
    <n v="11069.1"/>
    <n v="702.80000000000109"/>
    <n v="6.3492063492063586E-2"/>
    <n v="9.9601593625498003E-2"/>
    <s v="Cancelled"/>
    <s v="Status-Date Conflict"/>
  </r>
  <r>
    <s v="PO-00363"/>
    <x v="2"/>
    <x v="275"/>
    <d v="2022-11-11T00:00:00"/>
    <x v="2"/>
    <x v="1"/>
    <n v="1110"/>
    <n v="90.49"/>
    <n v="80.03"/>
    <n v="61"/>
    <x v="0"/>
    <n v="7"/>
    <x v="362"/>
    <n v="100443.9"/>
    <n v="11610.599999999991"/>
    <n v="0.1155928831915128"/>
    <n v="5.4954954954954956E-2"/>
    <s v="On Time"/>
    <s v="OK"/>
  </r>
  <r>
    <s v="PO-00364"/>
    <x v="0"/>
    <x v="276"/>
    <d v="2023-04-18T00:00:00"/>
    <x v="2"/>
    <x v="1"/>
    <n v="1233"/>
    <n v="23.08"/>
    <n v="20.57"/>
    <m/>
    <x v="0"/>
    <n v="4"/>
    <x v="363"/>
    <n v="28457.64"/>
    <n v="3094.8299999999981"/>
    <n v="0.10875216637781622"/>
    <n v="0"/>
    <s v="On Time"/>
    <s v="OK"/>
  </r>
  <r>
    <s v="PO-00365"/>
    <x v="3"/>
    <x v="92"/>
    <d v="2022-11-24T00:00:00"/>
    <x v="0"/>
    <x v="1"/>
    <n v="1064"/>
    <n v="48.04"/>
    <n v="43.6"/>
    <n v="94"/>
    <x v="0"/>
    <n v="4"/>
    <x v="364"/>
    <n v="51114.559999999998"/>
    <n v="4724.1599999999962"/>
    <n v="9.242298084929218E-2"/>
    <n v="8.834586466165413E-2"/>
    <s v="On Time"/>
    <s v="OK"/>
  </r>
  <r>
    <s v="PO-00366"/>
    <x v="4"/>
    <x v="277"/>
    <d v="2022-04-04T00:00:00"/>
    <x v="2"/>
    <x v="2"/>
    <n v="58"/>
    <n v="82.57"/>
    <n v="76.55"/>
    <m/>
    <x v="0"/>
    <n v="19"/>
    <x v="365"/>
    <n v="4789.0599999999995"/>
    <n v="349.15999999999985"/>
    <n v="7.2907835775705435E-2"/>
    <n v="0"/>
    <s v="Partially Delivered"/>
    <s v="Status-Date Conflict"/>
  </r>
  <r>
    <s v="PO-00367"/>
    <x v="3"/>
    <x v="278"/>
    <d v="2022-01-20T00:00:00"/>
    <x v="1"/>
    <x v="1"/>
    <n v="1306"/>
    <n v="23.49"/>
    <n v="20.170000000000002"/>
    <n v="116"/>
    <x v="1"/>
    <n v="10"/>
    <x v="366"/>
    <n v="30677.94"/>
    <n v="4335.9199999999983"/>
    <n v="0.1413367390378884"/>
    <n v="8.8820826952526799E-2"/>
    <s v="On Time"/>
    <s v="OK"/>
  </r>
  <r>
    <s v="PO-00368"/>
    <x v="1"/>
    <x v="104"/>
    <d v="2023-04-28T00:00:00"/>
    <x v="5"/>
    <x v="1"/>
    <n v="1172"/>
    <n v="32.93"/>
    <n v="29.28"/>
    <m/>
    <x v="1"/>
    <n v="13"/>
    <x v="367"/>
    <n v="38593.96"/>
    <n v="4277.7999999999956"/>
    <n v="0.11084117825690848"/>
    <n v="0"/>
    <s v="Late"/>
    <s v="OK"/>
  </r>
  <r>
    <s v="PO-00369"/>
    <x v="0"/>
    <x v="279"/>
    <m/>
    <x v="2"/>
    <x v="1"/>
    <n v="1732"/>
    <n v="82.5"/>
    <n v="71.709999999999994"/>
    <n v="24"/>
    <x v="0"/>
    <s v=""/>
    <x v="368"/>
    <n v="142890"/>
    <n v="18688.280000000013"/>
    <n v="0.13078787878787887"/>
    <n v="1.3856812933025405E-2"/>
    <s v="Missing Delivery Date"/>
    <s v="Missing Delivery Date"/>
  </r>
  <r>
    <s v="PO-00370"/>
    <x v="2"/>
    <x v="280"/>
    <d v="2023-08-07T00:00:00"/>
    <x v="3"/>
    <x v="1"/>
    <n v="865"/>
    <n v="81.540000000000006"/>
    <n v="71.59"/>
    <n v="39"/>
    <x v="0"/>
    <n v="7"/>
    <x v="369"/>
    <n v="70532.100000000006"/>
    <n v="8606.75"/>
    <n v="0.12202599950944321"/>
    <n v="4.5086705202312137E-2"/>
    <s v="On Time"/>
    <s v="OK"/>
  </r>
  <r>
    <s v="PO-00371"/>
    <x v="3"/>
    <x v="281"/>
    <d v="2022-04-20T00:00:00"/>
    <x v="3"/>
    <x v="1"/>
    <n v="257"/>
    <n v="68.72"/>
    <n v="66.92"/>
    <n v="22"/>
    <x v="0"/>
    <n v="7"/>
    <x v="370"/>
    <n v="17661.04"/>
    <n v="462.60000000000218"/>
    <n v="2.6193247962747503E-2"/>
    <n v="8.5603112840466927E-2"/>
    <s v="On Time"/>
    <s v="OK"/>
  </r>
  <r>
    <s v="PO-00372"/>
    <x v="4"/>
    <x v="282"/>
    <d v="2022-03-26T00:00:00"/>
    <x v="2"/>
    <x v="1"/>
    <n v="1204"/>
    <n v="73.180000000000007"/>
    <n v="67.59"/>
    <n v="31"/>
    <x v="0"/>
    <n v="9"/>
    <x v="371"/>
    <n v="88108.72"/>
    <n v="6730.3600000000006"/>
    <n v="7.6386990981142391E-2"/>
    <n v="2.5747508305647839E-2"/>
    <s v="On Time"/>
    <s v="OK"/>
  </r>
  <r>
    <s v="PO-00373"/>
    <x v="3"/>
    <x v="283"/>
    <d v="2023-07-09T00:00:00"/>
    <x v="5"/>
    <x v="2"/>
    <n v="453"/>
    <n v="64.14"/>
    <n v="60.18"/>
    <n v="51"/>
    <x v="0"/>
    <n v="4"/>
    <x v="372"/>
    <n v="29055.420000000002"/>
    <n v="1793.880000000001"/>
    <n v="6.1739943872778327E-2"/>
    <n v="0.11258278145695365"/>
    <s v="Partially Delivered"/>
    <s v="Status-Date Conflict"/>
  </r>
  <r>
    <s v="PO-00374"/>
    <x v="4"/>
    <x v="235"/>
    <d v="2022-08-21T00:00:00"/>
    <x v="5"/>
    <x v="1"/>
    <n v="201"/>
    <n v="33.81"/>
    <n v="32.54"/>
    <n v="3"/>
    <x v="0"/>
    <n v="14"/>
    <x v="373"/>
    <n v="6795.81"/>
    <n v="255.27000000000044"/>
    <n v="3.7562851227447562E-2"/>
    <n v="1.4925373134328358E-2"/>
    <s v="Late"/>
    <s v="OK"/>
  </r>
  <r>
    <s v="PO-00375"/>
    <x v="1"/>
    <x v="284"/>
    <d v="2023-06-16T00:00:00"/>
    <x v="0"/>
    <x v="1"/>
    <n v="103"/>
    <n v="44.61"/>
    <n v="42.88"/>
    <n v="10"/>
    <x v="0"/>
    <n v="13"/>
    <x v="374"/>
    <n v="4594.83"/>
    <n v="178.1899999999996"/>
    <n v="3.878054247926465E-2"/>
    <n v="9.7087378640776698E-2"/>
    <s v="Late"/>
    <s v="OK"/>
  </r>
  <r>
    <s v="PO-00376"/>
    <x v="4"/>
    <x v="106"/>
    <d v="2022-10-07T00:00:00"/>
    <x v="0"/>
    <x v="1"/>
    <n v="1193"/>
    <n v="27.4"/>
    <n v="27.09"/>
    <m/>
    <x v="0"/>
    <n v="8"/>
    <x v="375"/>
    <n v="32688.199999999997"/>
    <n v="369.82999999999811"/>
    <n v="1.131386861313863E-2"/>
    <n v="0"/>
    <s v="On Time"/>
    <s v="OK"/>
  </r>
  <r>
    <s v="PO-00377"/>
    <x v="2"/>
    <x v="199"/>
    <d v="2022-05-28T00:00:00"/>
    <x v="0"/>
    <x v="2"/>
    <n v="1746"/>
    <n v="93.6"/>
    <n v="89.81"/>
    <n v="85"/>
    <x v="0"/>
    <n v="12"/>
    <x v="376"/>
    <n v="163425.59999999998"/>
    <n v="6617.3399999999674"/>
    <n v="4.0491452991452799E-2"/>
    <n v="4.868270332187858E-2"/>
    <s v="Partially Delivered"/>
    <s v="Status-Date Conflict"/>
  </r>
  <r>
    <s v="PO-00378"/>
    <x v="1"/>
    <x v="285"/>
    <d v="2022-12-26T00:00:00"/>
    <x v="5"/>
    <x v="1"/>
    <n v="1993"/>
    <n v="65.94"/>
    <n v="59.36"/>
    <m/>
    <x v="0"/>
    <n v="2"/>
    <x v="377"/>
    <n v="131418.41999999998"/>
    <n v="13113.939999999988"/>
    <n v="9.9787685774946844E-2"/>
    <n v="0"/>
    <s v="On Time"/>
    <s v="OK"/>
  </r>
  <r>
    <s v="PO-00379"/>
    <x v="3"/>
    <x v="160"/>
    <d v="2022-03-27T00:00:00"/>
    <x v="3"/>
    <x v="1"/>
    <n v="677"/>
    <n v="46.54"/>
    <n v="43.11"/>
    <m/>
    <x v="1"/>
    <n v="15"/>
    <x v="378"/>
    <n v="31507.579999999998"/>
    <n v="2322.1099999999969"/>
    <n v="7.3700042973785893E-2"/>
    <n v="0"/>
    <s v="Late"/>
    <s v="OK"/>
  </r>
  <r>
    <s v="PO-00380"/>
    <x v="0"/>
    <x v="4"/>
    <m/>
    <x v="0"/>
    <x v="3"/>
    <n v="636"/>
    <n v="53.64"/>
    <n v="49.23"/>
    <n v="18"/>
    <x v="0"/>
    <s v=""/>
    <x v="379"/>
    <n v="34115.040000000001"/>
    <n v="2804.760000000002"/>
    <n v="8.2214765100671203E-2"/>
    <n v="2.8301886792452831E-2"/>
    <s v="Pending"/>
    <s v="OK"/>
  </r>
  <r>
    <s v="PO-00381"/>
    <x v="4"/>
    <x v="286"/>
    <d v="2023-02-02T00:00:00"/>
    <x v="2"/>
    <x v="1"/>
    <n v="1698"/>
    <n v="100.97"/>
    <n v="98.73"/>
    <n v="52"/>
    <x v="0"/>
    <n v="19"/>
    <x v="380"/>
    <n v="171447.06"/>
    <n v="3803.5199999999895"/>
    <n v="2.2184807368525242E-2"/>
    <n v="3.0624263839811542E-2"/>
    <s v="Late"/>
    <s v="OK"/>
  </r>
  <r>
    <s v="PO-00382"/>
    <x v="2"/>
    <x v="287"/>
    <d v="2022-11-01T00:00:00"/>
    <x v="0"/>
    <x v="1"/>
    <n v="1493"/>
    <n v="24.87"/>
    <n v="22.89"/>
    <n v="56"/>
    <x v="0"/>
    <n v="13"/>
    <x v="381"/>
    <n v="37130.910000000003"/>
    <n v="2956.1399999999994"/>
    <n v="7.9613992762364277E-2"/>
    <n v="3.7508372404554589E-2"/>
    <s v="Late"/>
    <s v="OK"/>
  </r>
  <r>
    <s v="PO-00383"/>
    <x v="0"/>
    <x v="136"/>
    <d v="2022-06-25T00:00:00"/>
    <x v="2"/>
    <x v="1"/>
    <n v="1495"/>
    <n v="64.33"/>
    <n v="58.18"/>
    <n v="26"/>
    <x v="0"/>
    <n v="14"/>
    <x v="382"/>
    <n v="96173.349999999991"/>
    <n v="9194.2499999999854"/>
    <n v="9.5600808332037782E-2"/>
    <n v="1.7391304347826087E-2"/>
    <s v="Late"/>
    <s v="OK"/>
  </r>
  <r>
    <s v="PO-00384"/>
    <x v="0"/>
    <x v="176"/>
    <d v="2023-04-07T00:00:00"/>
    <x v="2"/>
    <x v="0"/>
    <n v="153"/>
    <n v="59.42"/>
    <n v="52"/>
    <n v="3"/>
    <x v="0"/>
    <n v="13"/>
    <x v="383"/>
    <n v="9091.26"/>
    <n v="1135.2600000000002"/>
    <n v="0.12487377987209695"/>
    <n v="1.9607843137254902E-2"/>
    <s v="Cancelled"/>
    <s v="Status-Date Conflict"/>
  </r>
  <r>
    <s v="PO-00385"/>
    <x v="1"/>
    <x v="288"/>
    <d v="2023-07-22T00:00:00"/>
    <x v="3"/>
    <x v="0"/>
    <n v="1925"/>
    <n v="70.88"/>
    <n v="63.41"/>
    <n v="292"/>
    <x v="0"/>
    <n v="11"/>
    <x v="384"/>
    <n v="136444"/>
    <n v="14379.75"/>
    <n v="0.10538939051918736"/>
    <n v="0.15168831168831168"/>
    <s v="Cancelled"/>
    <s v="Status-Date Conflict"/>
  </r>
  <r>
    <s v="PO-00386"/>
    <x v="3"/>
    <x v="289"/>
    <d v="2024-01-11T00:00:00"/>
    <x v="2"/>
    <x v="1"/>
    <n v="303"/>
    <n v="12.97"/>
    <n v="11.42"/>
    <m/>
    <x v="1"/>
    <n v="20"/>
    <x v="385"/>
    <n v="3929.9100000000003"/>
    <n v="469.65000000000055"/>
    <n v="0.11950655358519674"/>
    <n v="0"/>
    <s v="Late"/>
    <s v="OK"/>
  </r>
  <r>
    <s v="PO-00387"/>
    <x v="0"/>
    <x v="290"/>
    <d v="2022-11-18T00:00:00"/>
    <x v="0"/>
    <x v="1"/>
    <n v="1300"/>
    <n v="92.92"/>
    <n v="90.63"/>
    <m/>
    <x v="0"/>
    <n v="12"/>
    <x v="386"/>
    <n v="120796"/>
    <n v="2977"/>
    <n v="2.4644855789926819E-2"/>
    <n v="0"/>
    <s v="Late"/>
    <s v="OK"/>
  </r>
  <r>
    <s v="PO-00388"/>
    <x v="2"/>
    <x v="291"/>
    <d v="2023-09-23T00:00:00"/>
    <x v="3"/>
    <x v="1"/>
    <n v="1185"/>
    <n v="103.28"/>
    <n v="99.05"/>
    <m/>
    <x v="0"/>
    <n v="4"/>
    <x v="387"/>
    <n v="122386.8"/>
    <n v="5012.5500000000029"/>
    <n v="4.0956622773044175E-2"/>
    <n v="0"/>
    <s v="On Time"/>
    <s v="OK"/>
  </r>
  <r>
    <s v="PO-00389"/>
    <x v="4"/>
    <x v="214"/>
    <d v="2023-11-20T00:00:00"/>
    <x v="3"/>
    <x v="1"/>
    <n v="559"/>
    <n v="67.56"/>
    <n v="57.98"/>
    <n v="15"/>
    <x v="0"/>
    <n v="19"/>
    <x v="388"/>
    <n v="37766.04"/>
    <n v="5355.2200000000012"/>
    <n v="0.14179988158673773"/>
    <n v="2.6833631484794274E-2"/>
    <s v="Late"/>
    <s v="OK"/>
  </r>
  <r>
    <s v="PO-00390"/>
    <x v="4"/>
    <x v="128"/>
    <d v="2023-06-29T00:00:00"/>
    <x v="5"/>
    <x v="3"/>
    <n v="1546"/>
    <n v="78.88"/>
    <n v="78"/>
    <n v="38"/>
    <x v="0"/>
    <n v="3"/>
    <x v="389"/>
    <n v="121948.48"/>
    <n v="1360.4799999999959"/>
    <n v="1.1156186612576032E-2"/>
    <n v="2.4579560155239329E-2"/>
    <s v="Pending"/>
    <s v="Status-Date Conflict"/>
  </r>
  <r>
    <s v="PO-00391"/>
    <x v="4"/>
    <x v="292"/>
    <d v="2022-01-19T00:00:00"/>
    <x v="2"/>
    <x v="1"/>
    <n v="148"/>
    <n v="93.02"/>
    <n v="85.96"/>
    <n v="4"/>
    <x v="0"/>
    <n v="10"/>
    <x v="390"/>
    <n v="13766.96"/>
    <n v="1044.8799999999992"/>
    <n v="7.5897656417974579E-2"/>
    <n v="2.7027027027027029E-2"/>
    <s v="On Time"/>
    <s v="OK"/>
  </r>
  <r>
    <s v="PO-00392"/>
    <x v="1"/>
    <x v="293"/>
    <d v="2023-11-23T00:00:00"/>
    <x v="0"/>
    <x v="1"/>
    <n v="202"/>
    <n v="81.75"/>
    <n v="78.260000000000005"/>
    <n v="37"/>
    <x v="1"/>
    <n v="8"/>
    <x v="391"/>
    <n v="16513.5"/>
    <n v="704.97999999999956"/>
    <n v="4.2691131498470924E-2"/>
    <n v="0.18316831683168316"/>
    <s v="On Time"/>
    <s v="OK"/>
  </r>
  <r>
    <s v="PO-00393"/>
    <x v="2"/>
    <x v="185"/>
    <d v="2023-07-28T00:00:00"/>
    <x v="2"/>
    <x v="1"/>
    <n v="1934"/>
    <n v="25.86"/>
    <n v="25.6"/>
    <n v="78"/>
    <x v="0"/>
    <n v="6"/>
    <x v="392"/>
    <n v="50013.24"/>
    <n v="502.83999999999651"/>
    <n v="1.0054137664346412E-2"/>
    <n v="4.0330920372285417E-2"/>
    <s v="On Time"/>
    <s v="OK"/>
  </r>
  <r>
    <s v="PO-00394"/>
    <x v="0"/>
    <x v="294"/>
    <d v="2022-11-07T00:00:00"/>
    <x v="0"/>
    <x v="1"/>
    <n v="963"/>
    <n v="64.959999999999994"/>
    <n v="64.069999999999993"/>
    <n v="20"/>
    <x v="0"/>
    <n v="4"/>
    <x v="393"/>
    <n v="62556.479999999996"/>
    <n v="857.06999999999971"/>
    <n v="1.3700738916256153E-2"/>
    <n v="2.0768431983385256E-2"/>
    <s v="On Time"/>
    <s v="OK"/>
  </r>
  <r>
    <s v="PO-00395"/>
    <x v="2"/>
    <x v="295"/>
    <d v="2023-11-18T00:00:00"/>
    <x v="1"/>
    <x v="1"/>
    <n v="1969"/>
    <n v="71.709999999999994"/>
    <n v="61.96"/>
    <m/>
    <x v="0"/>
    <n v="7"/>
    <x v="394"/>
    <n v="141196.99"/>
    <n v="19197.749999999985"/>
    <n v="0.13596430065541756"/>
    <n v="0"/>
    <s v="On Time"/>
    <s v="OK"/>
  </r>
  <r>
    <s v="PO-00396"/>
    <x v="1"/>
    <x v="296"/>
    <m/>
    <x v="5"/>
    <x v="1"/>
    <n v="927"/>
    <n v="48.89"/>
    <n v="46.05"/>
    <n v="138"/>
    <x v="0"/>
    <s v=""/>
    <x v="395"/>
    <n v="45321.03"/>
    <n v="2632.6800000000003"/>
    <n v="5.8089588872980165E-2"/>
    <n v="0.14886731391585761"/>
    <s v="Missing Delivery Date"/>
    <s v="Missing Delivery Date"/>
  </r>
  <r>
    <s v="PO-00397"/>
    <x v="1"/>
    <x v="297"/>
    <d v="2022-05-23T00:00:00"/>
    <x v="3"/>
    <x v="0"/>
    <n v="387"/>
    <n v="77.81"/>
    <n v="69.040000000000006"/>
    <n v="67"/>
    <x v="0"/>
    <n v="5"/>
    <x v="396"/>
    <n v="30112.47"/>
    <n v="3393.989999999998"/>
    <n v="0.11271044852846671"/>
    <n v="0.1731266149870801"/>
    <s v="Cancelled"/>
    <s v="Status-Date Conflict"/>
  </r>
  <r>
    <s v="PO-00398"/>
    <x v="3"/>
    <x v="43"/>
    <d v="2022-10-03T00:00:00"/>
    <x v="5"/>
    <x v="1"/>
    <n v="1779"/>
    <n v="97.86"/>
    <n v="94.36"/>
    <n v="176"/>
    <x v="0"/>
    <n v="5"/>
    <x v="397"/>
    <n v="174092.94"/>
    <n v="6226.5"/>
    <n v="3.5765379113018594E-2"/>
    <n v="9.8931984260820685E-2"/>
    <s v="On Time"/>
    <s v="OK"/>
  </r>
  <r>
    <s v="PO-00399"/>
    <x v="2"/>
    <x v="298"/>
    <d v="2022-05-05T00:00:00"/>
    <x v="1"/>
    <x v="3"/>
    <n v="871"/>
    <n v="94.7"/>
    <n v="92.66"/>
    <n v="46"/>
    <x v="0"/>
    <n v="6"/>
    <x v="398"/>
    <n v="82483.7"/>
    <n v="1776.8399999999965"/>
    <n v="2.154171066525867E-2"/>
    <n v="5.2812858783008038E-2"/>
    <s v="Pending"/>
    <s v="Status-Date Conflict"/>
  </r>
  <r>
    <s v="PO-00400"/>
    <x v="4"/>
    <x v="299"/>
    <d v="2022-04-23T00:00:00"/>
    <x v="5"/>
    <x v="1"/>
    <n v="1236"/>
    <n v="51.33"/>
    <n v="44.03"/>
    <n v="25"/>
    <x v="0"/>
    <n v="3"/>
    <x v="399"/>
    <n v="63443.88"/>
    <n v="9022.7999999999956"/>
    <n v="0.14221702707968042"/>
    <n v="2.0226537216828478E-2"/>
    <s v="On Time"/>
    <s v="OK"/>
  </r>
  <r>
    <s v="PO-00401"/>
    <x v="1"/>
    <x v="130"/>
    <d v="2023-08-06T00:00:00"/>
    <x v="5"/>
    <x v="1"/>
    <n v="1793"/>
    <n v="22.01"/>
    <n v="21.78"/>
    <n v="285"/>
    <x v="0"/>
    <n v="16"/>
    <x v="400"/>
    <n v="39463.93"/>
    <n v="412.38999999999942"/>
    <n v="1.0449795547478404E-2"/>
    <n v="0.15895147796988288"/>
    <s v="Late"/>
    <s v="OK"/>
  </r>
  <r>
    <s v="PO-00402"/>
    <x v="1"/>
    <x v="34"/>
    <d v="2022-06-28T00:00:00"/>
    <x v="1"/>
    <x v="1"/>
    <n v="1006"/>
    <n v="101.1"/>
    <n v="89.04"/>
    <n v="139"/>
    <x v="0"/>
    <n v="19"/>
    <x v="401"/>
    <n v="101706.59999999999"/>
    <n v="12132.359999999986"/>
    <n v="0.11928783382789304"/>
    <n v="0.13817097415506957"/>
    <s v="Late"/>
    <s v="OK"/>
  </r>
  <r>
    <s v="PO-00403"/>
    <x v="3"/>
    <x v="300"/>
    <d v="2022-10-21T00:00:00"/>
    <x v="5"/>
    <x v="0"/>
    <n v="1754"/>
    <n v="89.35"/>
    <n v="86.54"/>
    <n v="161"/>
    <x v="1"/>
    <n v="15"/>
    <x v="402"/>
    <n v="156719.9"/>
    <n v="4928.7399999999907"/>
    <n v="3.1449356463346331E-2"/>
    <n v="9.1790193842645376E-2"/>
    <s v="Cancelled"/>
    <s v="Status-Date Conflict"/>
  </r>
  <r>
    <s v="PO-00404"/>
    <x v="4"/>
    <x v="301"/>
    <d v="2022-11-04T00:00:00"/>
    <x v="5"/>
    <x v="1"/>
    <n v="210"/>
    <n v="22.17"/>
    <n v="21.32"/>
    <n v="10"/>
    <x v="0"/>
    <n v="19"/>
    <x v="403"/>
    <n v="4655.7000000000007"/>
    <n v="178.50000000000091"/>
    <n v="3.8340099233198206E-2"/>
    <n v="4.7619047619047616E-2"/>
    <s v="Late"/>
    <s v="OK"/>
  </r>
  <r>
    <s v="PO-00405"/>
    <x v="1"/>
    <x v="302"/>
    <d v="2023-10-02T00:00:00"/>
    <x v="1"/>
    <x v="1"/>
    <n v="1653"/>
    <n v="102.16"/>
    <n v="91.91"/>
    <n v="217"/>
    <x v="0"/>
    <n v="20"/>
    <x v="404"/>
    <n v="168870.47999999998"/>
    <n v="16943.25"/>
    <n v="0.10033281127642914"/>
    <n v="0.13127646702964307"/>
    <s v="Late"/>
    <s v="OK"/>
  </r>
  <r>
    <s v="PO-00406"/>
    <x v="0"/>
    <x v="303"/>
    <d v="2022-08-15T00:00:00"/>
    <x v="1"/>
    <x v="2"/>
    <n v="850"/>
    <n v="91.38"/>
    <n v="88.41"/>
    <n v="24"/>
    <x v="0"/>
    <n v="11"/>
    <x v="405"/>
    <n v="77673"/>
    <n v="2524.5"/>
    <n v="3.2501641497045305E-2"/>
    <n v="2.823529411764706E-2"/>
    <s v="Partially Delivered"/>
    <s v="Status-Date Conflict"/>
  </r>
  <r>
    <s v="PO-00407"/>
    <x v="4"/>
    <x v="304"/>
    <d v="2022-12-21T00:00:00"/>
    <x v="3"/>
    <x v="1"/>
    <n v="447"/>
    <n v="59.81"/>
    <n v="57.92"/>
    <n v="13"/>
    <x v="0"/>
    <n v="3"/>
    <x v="406"/>
    <n v="26735.07"/>
    <n v="844.82999999999811"/>
    <n v="3.1600066878448352E-2"/>
    <n v="2.9082774049217001E-2"/>
    <s v="On Time"/>
    <s v="OK"/>
  </r>
  <r>
    <s v="PO-00408"/>
    <x v="2"/>
    <x v="305"/>
    <d v="2022-08-07T00:00:00"/>
    <x v="0"/>
    <x v="1"/>
    <n v="1350"/>
    <n v="65.11"/>
    <n v="56.95"/>
    <n v="71"/>
    <x v="0"/>
    <n v="10"/>
    <x v="407"/>
    <n v="87898.5"/>
    <n v="11016"/>
    <n v="0.12532637075718014"/>
    <n v="5.2592592592592594E-2"/>
    <s v="On Time"/>
    <s v="OK"/>
  </r>
  <r>
    <s v="PO-00409"/>
    <x v="3"/>
    <x v="306"/>
    <d v="2023-12-24T00:00:00"/>
    <x v="0"/>
    <x v="1"/>
    <n v="865"/>
    <n v="51.19"/>
    <n v="47.76"/>
    <n v="83"/>
    <x v="0"/>
    <n v="19"/>
    <x v="408"/>
    <n v="44279.35"/>
    <n v="2966.9499999999971"/>
    <n v="6.7005274467669407E-2"/>
    <n v="9.595375722543352E-2"/>
    <s v="Late"/>
    <s v="OK"/>
  </r>
  <r>
    <s v="PO-00410"/>
    <x v="0"/>
    <x v="307"/>
    <d v="2023-10-29T00:00:00"/>
    <x v="1"/>
    <x v="1"/>
    <n v="1989"/>
    <n v="16.5"/>
    <n v="15.89"/>
    <n v="57"/>
    <x v="0"/>
    <n v="17"/>
    <x v="409"/>
    <n v="32818.5"/>
    <n v="1213.2899999999972"/>
    <n v="3.6969696969696889E-2"/>
    <n v="2.8657616892911009E-2"/>
    <s v="Late"/>
    <s v="OK"/>
  </r>
  <r>
    <s v="PO-00411"/>
    <x v="0"/>
    <x v="43"/>
    <d v="2022-10-13T00:00:00"/>
    <x v="0"/>
    <x v="1"/>
    <n v="1577"/>
    <n v="41.77"/>
    <n v="39.58"/>
    <n v="32"/>
    <x v="0"/>
    <n v="15"/>
    <x v="410"/>
    <n v="65871.290000000008"/>
    <n v="3453.6300000000119"/>
    <n v="5.2429973665310207E-2"/>
    <n v="2.0291693088142042E-2"/>
    <s v="Late"/>
    <s v="OK"/>
  </r>
  <r>
    <s v="PO-00412"/>
    <x v="2"/>
    <x v="18"/>
    <d v="2023-06-04T00:00:00"/>
    <x v="2"/>
    <x v="3"/>
    <n v="1969"/>
    <n v="89.25"/>
    <n v="87.28"/>
    <n v="108"/>
    <x v="1"/>
    <n v="2"/>
    <x v="411"/>
    <n v="175733.25"/>
    <n v="3878.929999999993"/>
    <n v="2.2072829131652622E-2"/>
    <n v="5.485017775520569E-2"/>
    <s v="Pending"/>
    <s v="Status-Date Conflict"/>
  </r>
  <r>
    <s v="PO-00413"/>
    <x v="3"/>
    <x v="151"/>
    <d v="2023-05-26T00:00:00"/>
    <x v="2"/>
    <x v="2"/>
    <n v="1465"/>
    <n v="11.25"/>
    <n v="9.61"/>
    <n v="151"/>
    <x v="0"/>
    <n v="10"/>
    <x v="412"/>
    <n v="16481.25"/>
    <n v="2402.6000000000004"/>
    <n v="0.14577777777777781"/>
    <n v="0.10307167235494881"/>
    <s v="Partially Delivered"/>
    <s v="Status-Date Conflict"/>
  </r>
  <r>
    <s v="PO-00414"/>
    <x v="1"/>
    <x v="129"/>
    <d v="2022-09-18T00:00:00"/>
    <x v="2"/>
    <x v="3"/>
    <n v="1208"/>
    <n v="41.62"/>
    <n v="39.46"/>
    <m/>
    <x v="0"/>
    <n v="3"/>
    <x v="413"/>
    <n v="50276.959999999999"/>
    <n v="2609.2799999999988"/>
    <n v="5.1898125901009111E-2"/>
    <n v="0"/>
    <s v="Pending"/>
    <s v="Status-Date Conflict"/>
  </r>
  <r>
    <s v="PO-00415"/>
    <x v="3"/>
    <x v="90"/>
    <d v="2022-03-11T00:00:00"/>
    <x v="3"/>
    <x v="1"/>
    <n v="1268"/>
    <n v="46.06"/>
    <n v="45.26"/>
    <n v="123"/>
    <x v="0"/>
    <n v="17"/>
    <x v="414"/>
    <n v="58404.08"/>
    <n v="1014.4000000000015"/>
    <n v="1.7368649587494598E-2"/>
    <n v="9.7003154574132486E-2"/>
    <s v="Late"/>
    <s v="OK"/>
  </r>
  <r>
    <s v="PO-00416"/>
    <x v="1"/>
    <x v="37"/>
    <d v="2022-04-24T00:00:00"/>
    <x v="0"/>
    <x v="1"/>
    <n v="450"/>
    <n v="59.24"/>
    <n v="55.03"/>
    <n v="68"/>
    <x v="1"/>
    <n v="19"/>
    <x v="415"/>
    <n v="26658"/>
    <n v="1894.5"/>
    <n v="7.1066846725185692E-2"/>
    <n v="0.15111111111111111"/>
    <s v="Late"/>
    <s v="OK"/>
  </r>
  <r>
    <s v="PO-00417"/>
    <x v="2"/>
    <x v="307"/>
    <d v="2023-10-14T00:00:00"/>
    <x v="5"/>
    <x v="2"/>
    <n v="689"/>
    <n v="102.53"/>
    <n v="95.23"/>
    <n v="38"/>
    <x v="0"/>
    <n v="2"/>
    <x v="416"/>
    <n v="70643.17"/>
    <n v="5029.6999999999971"/>
    <n v="7.1198673558958314E-2"/>
    <n v="5.5152394775036286E-2"/>
    <s v="Partially Delivered"/>
    <s v="Status-Date Conflict"/>
  </r>
  <r>
    <s v="PO-00418"/>
    <x v="2"/>
    <x v="170"/>
    <d v="2023-03-29T00:00:00"/>
    <x v="1"/>
    <x v="1"/>
    <n v="1106"/>
    <n v="44.05"/>
    <n v="38.6"/>
    <n v="51"/>
    <x v="0"/>
    <n v="19"/>
    <x v="417"/>
    <n v="48719.299999999996"/>
    <n v="6027.6999999999971"/>
    <n v="0.12372304199772981"/>
    <n v="4.6112115732368897E-2"/>
    <s v="Late"/>
    <s v="OK"/>
  </r>
  <r>
    <s v="PO-00419"/>
    <x v="0"/>
    <x v="308"/>
    <d v="2022-10-22T00:00:00"/>
    <x v="0"/>
    <x v="1"/>
    <n v="737"/>
    <n v="43.08"/>
    <n v="42.58"/>
    <n v="21"/>
    <x v="0"/>
    <n v="11"/>
    <x v="418"/>
    <n v="31749.96"/>
    <n v="368.5"/>
    <n v="1.1606313834726092E-2"/>
    <n v="2.8493894165535955E-2"/>
    <s v="Late"/>
    <s v="OK"/>
  </r>
  <r>
    <s v="PO-00420"/>
    <x v="0"/>
    <x v="309"/>
    <d v="2022-03-04T00:00:00"/>
    <x v="3"/>
    <x v="1"/>
    <n v="509"/>
    <n v="76.760000000000005"/>
    <n v="74.72"/>
    <n v="7"/>
    <x v="1"/>
    <n v="17"/>
    <x v="419"/>
    <n v="39070.840000000004"/>
    <n v="1038.3600000000079"/>
    <n v="2.6576341844710985E-2"/>
    <n v="1.37524557956778E-2"/>
    <s v="Late"/>
    <s v="OK"/>
  </r>
  <r>
    <s v="PO-00421"/>
    <x v="0"/>
    <x v="137"/>
    <d v="2022-01-06T00:00:00"/>
    <x v="5"/>
    <x v="1"/>
    <n v="1004"/>
    <n v="50.7"/>
    <n v="46.59"/>
    <n v="27"/>
    <x v="0"/>
    <n v="2"/>
    <x v="420"/>
    <n v="50902.8"/>
    <n v="4126.4400000000023"/>
    <n v="8.1065088757396486E-2"/>
    <n v="2.6892430278884463E-2"/>
    <s v="On Time"/>
    <s v="OK"/>
  </r>
  <r>
    <s v="PO-00422"/>
    <x v="2"/>
    <x v="310"/>
    <d v="2022-12-19T00:00:00"/>
    <x v="1"/>
    <x v="3"/>
    <n v="1956"/>
    <n v="31.88"/>
    <n v="28.48"/>
    <n v="86"/>
    <x v="0"/>
    <n v="11"/>
    <x v="421"/>
    <n v="62357.279999999999"/>
    <n v="6650.4000000000015"/>
    <n v="0.10664993726474281"/>
    <n v="4.396728016359918E-2"/>
    <s v="Pending"/>
    <s v="Status-Date Conflict"/>
  </r>
  <r>
    <s v="PO-00423"/>
    <x v="1"/>
    <x v="311"/>
    <m/>
    <x v="5"/>
    <x v="1"/>
    <n v="519"/>
    <n v="51.73"/>
    <n v="47.52"/>
    <n v="81"/>
    <x v="1"/>
    <s v=""/>
    <x v="422"/>
    <n v="26847.87"/>
    <n v="2184.989999999998"/>
    <n v="8.1384109800889157E-2"/>
    <n v="0.15606936416184972"/>
    <s v="Missing Delivery Date"/>
    <s v="Missing Delivery Date"/>
  </r>
  <r>
    <s v="PO-00424"/>
    <x v="2"/>
    <x v="312"/>
    <d v="2023-10-21T00:00:00"/>
    <x v="1"/>
    <x v="2"/>
    <n v="1448"/>
    <n v="25.06"/>
    <n v="21.62"/>
    <n v="84"/>
    <x v="0"/>
    <n v="6"/>
    <x v="423"/>
    <n v="36286.879999999997"/>
    <n v="4981.1199999999953"/>
    <n v="0.13727055067837179"/>
    <n v="5.8011049723756904E-2"/>
    <s v="Partially Delivered"/>
    <s v="Status-Date Conflict"/>
  </r>
  <r>
    <s v="PO-00425"/>
    <x v="2"/>
    <x v="313"/>
    <d v="2022-10-11T00:00:00"/>
    <x v="2"/>
    <x v="1"/>
    <n v="1095"/>
    <n v="26.91"/>
    <n v="23.75"/>
    <n v="53"/>
    <x v="0"/>
    <n v="15"/>
    <x v="424"/>
    <n v="29466.45"/>
    <n v="3460.2000000000007"/>
    <n v="0.11742846525455224"/>
    <n v="4.8401826484018265E-2"/>
    <s v="Late"/>
    <s v="OK"/>
  </r>
  <r>
    <s v="PO-00426"/>
    <x v="0"/>
    <x v="145"/>
    <m/>
    <x v="1"/>
    <x v="1"/>
    <n v="799"/>
    <n v="56.22"/>
    <n v="49.51"/>
    <n v="18"/>
    <x v="0"/>
    <s v=""/>
    <x v="425"/>
    <n v="44919.78"/>
    <n v="5361.2900000000009"/>
    <n v="0.1193525435787976"/>
    <n v="2.2528160200250311E-2"/>
    <s v="Missing Delivery Date"/>
    <s v="Missing Delivery Date"/>
  </r>
  <r>
    <s v="PO-00427"/>
    <x v="3"/>
    <x v="314"/>
    <d v="2023-04-18T00:00:00"/>
    <x v="1"/>
    <x v="2"/>
    <n v="1743"/>
    <n v="51.04"/>
    <n v="47.15"/>
    <n v="160"/>
    <x v="0"/>
    <n v="20"/>
    <x v="426"/>
    <n v="88962.72"/>
    <n v="6780.2700000000041"/>
    <n v="7.6214733542319793E-2"/>
    <n v="9.1795754446356861E-2"/>
    <s v="Partially Delivered"/>
    <s v="Status-Date Conflict"/>
  </r>
  <r>
    <s v="PO-00428"/>
    <x v="0"/>
    <x v="315"/>
    <d v="2023-07-31T00:00:00"/>
    <x v="3"/>
    <x v="1"/>
    <n v="87"/>
    <n v="100.65"/>
    <n v="85.56"/>
    <n v="1"/>
    <x v="0"/>
    <n v="12"/>
    <x v="427"/>
    <n v="8756.5500000000011"/>
    <n v="1312.8300000000008"/>
    <n v="0.14992548435171393"/>
    <n v="1.1494252873563218E-2"/>
    <s v="Late"/>
    <s v="OK"/>
  </r>
  <r>
    <s v="PO-00429"/>
    <x v="3"/>
    <x v="316"/>
    <m/>
    <x v="3"/>
    <x v="1"/>
    <n v="279"/>
    <n v="47.52"/>
    <n v="46.5"/>
    <n v="28"/>
    <x v="1"/>
    <s v=""/>
    <x v="428"/>
    <n v="13258.080000000002"/>
    <n v="284.58000000000175"/>
    <n v="2.1464646464646592E-2"/>
    <n v="0.1003584229390681"/>
    <s v="Missing Delivery Date"/>
    <s v="Missing Delivery Date"/>
  </r>
  <r>
    <s v="PO-00430"/>
    <x v="1"/>
    <x v="317"/>
    <d v="2023-03-25T00:00:00"/>
    <x v="3"/>
    <x v="1"/>
    <n v="1438"/>
    <n v="66.61"/>
    <n v="58.5"/>
    <n v="237"/>
    <x v="0"/>
    <n v="11"/>
    <x v="429"/>
    <n v="95785.18"/>
    <n v="11662.179999999993"/>
    <n v="0.1217534904668968"/>
    <n v="0.16481223922114047"/>
    <s v="Late"/>
    <s v="OK"/>
  </r>
  <r>
    <s v="PO-00431"/>
    <x v="1"/>
    <x v="21"/>
    <d v="2023-07-31T00:00:00"/>
    <x v="0"/>
    <x v="2"/>
    <n v="612"/>
    <n v="72.930000000000007"/>
    <n v="63.32"/>
    <n v="99"/>
    <x v="0"/>
    <n v="2"/>
    <x v="430"/>
    <n v="44633.16"/>
    <n v="5881.32"/>
    <n v="0.13177019059372"/>
    <n v="0.16176470588235295"/>
    <s v="Partially Delivered"/>
    <s v="Status-Date Conflict"/>
  </r>
  <r>
    <s v="PO-00432"/>
    <x v="4"/>
    <x v="278"/>
    <d v="2022-01-21T00:00:00"/>
    <x v="2"/>
    <x v="3"/>
    <n v="487"/>
    <n v="11.18"/>
    <n v="10.63"/>
    <n v="15"/>
    <x v="0"/>
    <n v="11"/>
    <x v="431"/>
    <n v="5444.66"/>
    <n v="267.84999999999945"/>
    <n v="4.9194991055456071E-2"/>
    <n v="3.0800821355236138E-2"/>
    <s v="Pending"/>
    <s v="Status-Date Conflict"/>
  </r>
  <r>
    <s v="PO-00433"/>
    <x v="4"/>
    <x v="1"/>
    <d v="2022-04-29T00:00:00"/>
    <x v="2"/>
    <x v="2"/>
    <n v="1849"/>
    <n v="70.760000000000005"/>
    <n v="69.25"/>
    <n v="51"/>
    <x v="0"/>
    <n v="4"/>
    <x v="432"/>
    <n v="130835.24"/>
    <n v="2791.9900000000052"/>
    <n v="2.1339739966082572E-2"/>
    <n v="2.7582477014602487E-2"/>
    <s v="Partially Delivered"/>
    <s v="Status-Date Conflict"/>
  </r>
  <r>
    <s v="PO-00434"/>
    <x v="4"/>
    <x v="225"/>
    <d v="2022-04-01T00:00:00"/>
    <x v="1"/>
    <x v="2"/>
    <n v="1356"/>
    <n v="26.28"/>
    <n v="25.44"/>
    <n v="47"/>
    <x v="0"/>
    <n v="13"/>
    <x v="433"/>
    <n v="35635.68"/>
    <n v="1139.0400000000009"/>
    <n v="3.1963470319634729E-2"/>
    <n v="3.466076696165192E-2"/>
    <s v="Partially Delivered"/>
    <s v="Status-Date Conflict"/>
  </r>
  <r>
    <s v="PO-00435"/>
    <x v="1"/>
    <x v="318"/>
    <d v="2023-12-29T00:00:00"/>
    <x v="3"/>
    <x v="1"/>
    <n v="76"/>
    <n v="107.59"/>
    <n v="96.33"/>
    <n v="10"/>
    <x v="0"/>
    <n v="20"/>
    <x v="434"/>
    <n v="8176.84"/>
    <n v="855.76000000000022"/>
    <n v="0.10465656659540852"/>
    <n v="0.13157894736842105"/>
    <s v="Late"/>
    <s v="OK"/>
  </r>
  <r>
    <s v="PO-00436"/>
    <x v="0"/>
    <x v="319"/>
    <d v="2022-06-13T00:00:00"/>
    <x v="2"/>
    <x v="2"/>
    <n v="275"/>
    <n v="23.96"/>
    <n v="20.440000000000001"/>
    <m/>
    <x v="0"/>
    <n v="11"/>
    <x v="435"/>
    <n v="6589"/>
    <n v="968"/>
    <n v="0.14691151919866444"/>
    <n v="0"/>
    <s v="Partially Delivered"/>
    <s v="Status-Date Conflict"/>
  </r>
  <r>
    <s v="PO-00437"/>
    <x v="0"/>
    <x v="9"/>
    <d v="2023-07-18T00:00:00"/>
    <x v="2"/>
    <x v="1"/>
    <n v="1350"/>
    <n v="51.57"/>
    <n v="48.07"/>
    <m/>
    <x v="0"/>
    <n v="5"/>
    <x v="436"/>
    <n v="69619.5"/>
    <n v="4725"/>
    <n v="6.7868916036455298E-2"/>
    <n v="0"/>
    <s v="On Time"/>
    <s v="OK"/>
  </r>
  <r>
    <s v="PO-00438"/>
    <x v="0"/>
    <x v="320"/>
    <m/>
    <x v="1"/>
    <x v="1"/>
    <n v="847"/>
    <n v="17.77"/>
    <n v="17.39"/>
    <m/>
    <x v="0"/>
    <s v=""/>
    <x v="437"/>
    <n v="15051.19"/>
    <n v="321.86000000000058"/>
    <n v="2.1384355655599364E-2"/>
    <n v="0"/>
    <s v="Missing Delivery Date"/>
    <s v="Missing Delivery Date"/>
  </r>
  <r>
    <s v="PO-00439"/>
    <x v="2"/>
    <x v="286"/>
    <d v="2023-01-27T00:00:00"/>
    <x v="1"/>
    <x v="1"/>
    <n v="1682"/>
    <n v="105.7"/>
    <n v="101.3"/>
    <n v="94"/>
    <x v="0"/>
    <n v="13"/>
    <x v="438"/>
    <n v="177787.4"/>
    <n v="7400.7999999999884"/>
    <n v="4.1627246925260104E-2"/>
    <n v="5.5885850178359099E-2"/>
    <s v="Late"/>
    <s v="OK"/>
  </r>
  <r>
    <s v="PO-00440"/>
    <x v="4"/>
    <x v="321"/>
    <d v="2023-08-23T00:00:00"/>
    <x v="5"/>
    <x v="1"/>
    <n v="333"/>
    <n v="60.44"/>
    <n v="58.54"/>
    <n v="8"/>
    <x v="0"/>
    <n v="3"/>
    <x v="439"/>
    <n v="20126.52"/>
    <n v="632.70000000000073"/>
    <n v="3.1436135009927237E-2"/>
    <n v="2.4024024024024024E-2"/>
    <s v="On Time"/>
    <s v="OK"/>
  </r>
  <r>
    <s v="PO-00441"/>
    <x v="0"/>
    <x v="50"/>
    <d v="2023-08-02T00:00:00"/>
    <x v="5"/>
    <x v="0"/>
    <n v="928"/>
    <n v="69.31"/>
    <n v="67.260000000000005"/>
    <n v="20"/>
    <x v="0"/>
    <n v="13"/>
    <x v="440"/>
    <n v="64319.68"/>
    <n v="1902.3999999999942"/>
    <n v="2.9577261578415722E-2"/>
    <n v="2.1551724137931036E-2"/>
    <s v="Cancelled"/>
    <s v="Status-Date Conflict"/>
  </r>
  <r>
    <s v="PO-00442"/>
    <x v="4"/>
    <x v="322"/>
    <d v="2022-06-12T00:00:00"/>
    <x v="1"/>
    <x v="2"/>
    <n v="1009"/>
    <n v="16.440000000000001"/>
    <n v="16.18"/>
    <m/>
    <x v="0"/>
    <n v="11"/>
    <x v="441"/>
    <n v="16587.960000000003"/>
    <n v="262.34000000000378"/>
    <n v="1.5815085158151079E-2"/>
    <n v="0"/>
    <s v="Partially Delivered"/>
    <s v="Status-Date Conflict"/>
  </r>
  <r>
    <s v="PO-00443"/>
    <x v="4"/>
    <x v="323"/>
    <d v="2023-04-03T00:00:00"/>
    <x v="5"/>
    <x v="3"/>
    <n v="1554"/>
    <n v="82.92"/>
    <n v="74.819999999999993"/>
    <n v="44"/>
    <x v="0"/>
    <n v="17"/>
    <x v="442"/>
    <n v="128857.68000000001"/>
    <n v="12587.400000000023"/>
    <n v="9.7684515195369206E-2"/>
    <n v="2.8314028314028315E-2"/>
    <s v="Pending"/>
    <s v="Status-Date Conflict"/>
  </r>
  <r>
    <s v="PO-00444"/>
    <x v="2"/>
    <x v="324"/>
    <d v="2022-05-25T00:00:00"/>
    <x v="2"/>
    <x v="2"/>
    <n v="502"/>
    <n v="29.47"/>
    <n v="28.94"/>
    <n v="27"/>
    <x v="0"/>
    <n v="14"/>
    <x v="443"/>
    <n v="14793.939999999999"/>
    <n v="266.05999999999767"/>
    <n v="1.7984390906005954E-2"/>
    <n v="5.3784860557768925E-2"/>
    <s v="Partially Delivered"/>
    <s v="Status-Date Conflict"/>
  </r>
  <r>
    <s v="PO-00445"/>
    <x v="1"/>
    <x v="325"/>
    <d v="2022-02-13T00:00:00"/>
    <x v="1"/>
    <x v="1"/>
    <n v="1069"/>
    <n v="91.28"/>
    <n v="82.64"/>
    <m/>
    <x v="0"/>
    <n v="1"/>
    <x v="444"/>
    <n v="97578.32"/>
    <n v="9236.1600000000035"/>
    <n v="9.4653812445223515E-2"/>
    <n v="0"/>
    <s v="On Time"/>
    <s v="OK"/>
  </r>
  <r>
    <s v="PO-00446"/>
    <x v="0"/>
    <x v="326"/>
    <d v="2022-11-18T00:00:00"/>
    <x v="1"/>
    <x v="3"/>
    <n v="1902"/>
    <n v="29.89"/>
    <n v="25.83"/>
    <n v="41"/>
    <x v="0"/>
    <n v="6"/>
    <x v="445"/>
    <n v="56850.78"/>
    <n v="7722.1200000000026"/>
    <n v="0.13583138173302112"/>
    <n v="2.1556256572029444E-2"/>
    <s v="Pending"/>
    <s v="Status-Date Conflict"/>
  </r>
  <r>
    <s v="PO-00447"/>
    <x v="2"/>
    <x v="67"/>
    <m/>
    <x v="3"/>
    <x v="3"/>
    <n v="865"/>
    <n v="28.79"/>
    <n v="25.69"/>
    <n v="47"/>
    <x v="0"/>
    <s v=""/>
    <x v="446"/>
    <n v="24903.35"/>
    <n v="2681.4999999999964"/>
    <n v="0.10767627648489045"/>
    <n v="5.4335260115606937E-2"/>
    <s v="Pending"/>
    <s v="OK"/>
  </r>
  <r>
    <s v="PO-00448"/>
    <x v="1"/>
    <x v="264"/>
    <d v="2022-02-26T00:00:00"/>
    <x v="2"/>
    <x v="2"/>
    <n v="708"/>
    <n v="13.36"/>
    <n v="11.61"/>
    <m/>
    <x v="1"/>
    <n v="16"/>
    <x v="447"/>
    <n v="9458.8799999999992"/>
    <n v="1239"/>
    <n v="0.13098802395209583"/>
    <n v="0"/>
    <s v="Partially Delivered"/>
    <s v="Status-Date Conflict"/>
  </r>
  <r>
    <s v="PO-00449"/>
    <x v="1"/>
    <x v="327"/>
    <d v="2023-01-07T00:00:00"/>
    <x v="2"/>
    <x v="1"/>
    <n v="1589"/>
    <n v="55.64"/>
    <n v="48.52"/>
    <m/>
    <x v="0"/>
    <n v="5"/>
    <x v="448"/>
    <n v="88411.96"/>
    <n v="11313.680000000008"/>
    <n v="0.12796549245147384"/>
    <n v="0"/>
    <s v="On Time"/>
    <s v="OK"/>
  </r>
  <r>
    <s v="PO-00450"/>
    <x v="0"/>
    <x v="303"/>
    <d v="2022-08-14T00:00:00"/>
    <x v="0"/>
    <x v="1"/>
    <n v="596"/>
    <n v="62.96"/>
    <n v="61.88"/>
    <n v="9"/>
    <x v="0"/>
    <n v="10"/>
    <x v="449"/>
    <n v="37524.160000000003"/>
    <n v="643.68000000000029"/>
    <n v="1.7153748411689967E-2"/>
    <n v="1.5100671140939598E-2"/>
    <s v="On Time"/>
    <s v="OK"/>
  </r>
  <r>
    <s v="PO-00451"/>
    <x v="4"/>
    <x v="133"/>
    <d v="2023-12-04T00:00:00"/>
    <x v="0"/>
    <x v="1"/>
    <n v="1265"/>
    <n v="17.66"/>
    <n v="16.97"/>
    <n v="34"/>
    <x v="0"/>
    <n v="4"/>
    <x v="450"/>
    <n v="22339.9"/>
    <n v="872.85000000000218"/>
    <n v="3.9071347678369291E-2"/>
    <n v="2.6877470355731226E-2"/>
    <s v="On Time"/>
    <s v="OK"/>
  </r>
  <r>
    <s v="PO-00452"/>
    <x v="3"/>
    <x v="224"/>
    <d v="2022-10-01T00:00:00"/>
    <x v="3"/>
    <x v="1"/>
    <n v="1122"/>
    <n v="82.99"/>
    <n v="81.7"/>
    <n v="118"/>
    <x v="1"/>
    <n v="18"/>
    <x v="451"/>
    <n v="93114.78"/>
    <n v="1447.3799999999901"/>
    <n v="1.5544041450777096E-2"/>
    <n v="0.10516934046345811"/>
    <s v="Late"/>
    <s v="OK"/>
  </r>
  <r>
    <s v="PO-00453"/>
    <x v="4"/>
    <x v="328"/>
    <d v="2023-12-01T00:00:00"/>
    <x v="0"/>
    <x v="1"/>
    <n v="1585"/>
    <n v="56.38"/>
    <n v="53.05"/>
    <m/>
    <x v="0"/>
    <n v="17"/>
    <x v="452"/>
    <n v="89362.3"/>
    <n v="5278.0500000000029"/>
    <n v="5.9063497694217836E-2"/>
    <n v="0"/>
    <s v="Late"/>
    <s v="OK"/>
  </r>
  <r>
    <s v="PO-00454"/>
    <x v="4"/>
    <x v="329"/>
    <d v="2022-04-27T00:00:00"/>
    <x v="5"/>
    <x v="1"/>
    <n v="66"/>
    <n v="58.05"/>
    <n v="50.76"/>
    <m/>
    <x v="0"/>
    <n v="11"/>
    <x v="453"/>
    <n v="3831.2999999999997"/>
    <n v="481.13999999999987"/>
    <n v="0.12558139534883719"/>
    <n v="0"/>
    <s v="Late"/>
    <s v="OK"/>
  </r>
  <r>
    <s v="PO-00455"/>
    <x v="3"/>
    <x v="209"/>
    <d v="2023-01-18T00:00:00"/>
    <x v="1"/>
    <x v="1"/>
    <n v="1245"/>
    <n v="52.4"/>
    <n v="51.65"/>
    <n v="118"/>
    <x v="1"/>
    <n v="20"/>
    <x v="454"/>
    <n v="65238"/>
    <n v="933.75"/>
    <n v="1.4312977099236641E-2"/>
    <n v="9.4779116465863456E-2"/>
    <s v="Late"/>
    <s v="OK"/>
  </r>
  <r>
    <s v="PO-00456"/>
    <x v="1"/>
    <x v="330"/>
    <d v="2023-08-10T00:00:00"/>
    <x v="5"/>
    <x v="1"/>
    <n v="1293"/>
    <n v="50.21"/>
    <n v="47.55"/>
    <m/>
    <x v="1"/>
    <n v="13"/>
    <x v="455"/>
    <n v="64921.53"/>
    <n v="3439.3800000000047"/>
    <n v="5.297749452300346E-2"/>
    <n v="0"/>
    <s v="Late"/>
    <s v="OK"/>
  </r>
  <r>
    <s v="PO-00457"/>
    <x v="3"/>
    <x v="204"/>
    <d v="2023-02-27T00:00:00"/>
    <x v="2"/>
    <x v="1"/>
    <n v="207"/>
    <n v="64.290000000000006"/>
    <n v="63.01"/>
    <n v="25"/>
    <x v="0"/>
    <n v="6"/>
    <x v="456"/>
    <n v="13308.03"/>
    <n v="264.96000000000095"/>
    <n v="1.9909783792191701E-2"/>
    <n v="0.12077294685990338"/>
    <s v="On Time"/>
    <s v="OK"/>
  </r>
  <r>
    <s v="PO-00458"/>
    <x v="3"/>
    <x v="331"/>
    <d v="2023-10-18T00:00:00"/>
    <x v="0"/>
    <x v="1"/>
    <n v="526"/>
    <n v="26.37"/>
    <n v="25.32"/>
    <n v="47"/>
    <x v="0"/>
    <n v="20"/>
    <x v="457"/>
    <n v="13870.62"/>
    <n v="552.30000000000109"/>
    <n v="3.9817974971558666E-2"/>
    <n v="8.9353612167300381E-2"/>
    <s v="Late"/>
    <s v="OK"/>
  </r>
  <r>
    <s v="PO-00459"/>
    <x v="2"/>
    <x v="244"/>
    <d v="2022-06-14T00:00:00"/>
    <x v="5"/>
    <x v="1"/>
    <n v="1119"/>
    <n v="27.03"/>
    <n v="23.82"/>
    <m/>
    <x v="0"/>
    <n v="6"/>
    <x v="458"/>
    <n v="30246.57"/>
    <n v="3591.989999999998"/>
    <n v="0.11875693673695886"/>
    <n v="0"/>
    <s v="On Time"/>
    <s v="OK"/>
  </r>
  <r>
    <s v="PO-00460"/>
    <x v="2"/>
    <x v="232"/>
    <d v="2022-09-02T00:00:00"/>
    <x v="2"/>
    <x v="1"/>
    <n v="1446"/>
    <n v="90.63"/>
    <n v="84.51"/>
    <n v="77"/>
    <x v="0"/>
    <n v="2"/>
    <x v="459"/>
    <n v="131050.98"/>
    <n v="8849.5199999999895"/>
    <n v="6.7527308838132988E-2"/>
    <n v="5.3250345781466112E-2"/>
    <s v="On Time"/>
    <s v="OK"/>
  </r>
  <r>
    <s v="PO-00461"/>
    <x v="2"/>
    <x v="68"/>
    <d v="2022-06-24T00:00:00"/>
    <x v="0"/>
    <x v="1"/>
    <n v="567"/>
    <n v="97.53"/>
    <n v="85.29"/>
    <n v="21"/>
    <x v="0"/>
    <n v="8"/>
    <x v="460"/>
    <n v="55299.51"/>
    <n v="6940.0800000000017"/>
    <n v="0.12549984620116889"/>
    <n v="3.7037037037037035E-2"/>
    <s v="On Time"/>
    <s v="OK"/>
  </r>
  <r>
    <s v="PO-00462"/>
    <x v="1"/>
    <x v="332"/>
    <m/>
    <x v="1"/>
    <x v="1"/>
    <n v="148"/>
    <n v="44.91"/>
    <n v="40.1"/>
    <m/>
    <x v="1"/>
    <s v=""/>
    <x v="461"/>
    <n v="6646.6799999999994"/>
    <n v="711.8799999999992"/>
    <n v="0.10710309507904688"/>
    <n v="0"/>
    <s v="Missing Delivery Date"/>
    <s v="Missing Delivery Date"/>
  </r>
  <r>
    <s v="PO-00463"/>
    <x v="3"/>
    <x v="333"/>
    <d v="2023-03-14T00:00:00"/>
    <x v="1"/>
    <x v="3"/>
    <n v="1965"/>
    <n v="36.6"/>
    <n v="34.64"/>
    <n v="195"/>
    <x v="0"/>
    <n v="15"/>
    <x v="462"/>
    <n v="71919"/>
    <n v="3851.3999999999942"/>
    <n v="5.355191256830593E-2"/>
    <n v="9.9236641221374045E-2"/>
    <s v="Pending"/>
    <s v="Status-Date Conflict"/>
  </r>
  <r>
    <s v="PO-00464"/>
    <x v="0"/>
    <x v="2"/>
    <d v="2022-02-03T00:00:00"/>
    <x v="0"/>
    <x v="3"/>
    <n v="1818"/>
    <n v="67.959999999999994"/>
    <n v="58.98"/>
    <m/>
    <x v="0"/>
    <n v="8"/>
    <x v="463"/>
    <n v="123551.27999999998"/>
    <n v="16325.639999999985"/>
    <n v="0.13213655091230125"/>
    <n v="0"/>
    <s v="Pending"/>
    <s v="Status-Date Conflict"/>
  </r>
  <r>
    <s v="PO-00465"/>
    <x v="3"/>
    <x v="334"/>
    <d v="2022-07-19T00:00:00"/>
    <x v="1"/>
    <x v="1"/>
    <n v="1110"/>
    <n v="48.19"/>
    <n v="45.88"/>
    <n v="112"/>
    <x v="0"/>
    <n v="16"/>
    <x v="464"/>
    <n v="53490.899999999994"/>
    <n v="2564.0999999999913"/>
    <n v="4.7935256277235785E-2"/>
    <n v="0.1009009009009009"/>
    <s v="Late"/>
    <s v="OK"/>
  </r>
  <r>
    <s v="PO-00466"/>
    <x v="1"/>
    <x v="335"/>
    <m/>
    <x v="3"/>
    <x v="1"/>
    <n v="329"/>
    <n v="12.96"/>
    <n v="12.74"/>
    <n v="48"/>
    <x v="0"/>
    <s v=""/>
    <x v="465"/>
    <n v="4263.84"/>
    <n v="72.380000000000109"/>
    <n v="1.6975308641975332E-2"/>
    <n v="0.1458966565349544"/>
    <s v="Missing Delivery Date"/>
    <s v="Missing Delivery Date"/>
  </r>
  <r>
    <s v="PO-00467"/>
    <x v="2"/>
    <x v="336"/>
    <d v="2023-03-17T00:00:00"/>
    <x v="0"/>
    <x v="0"/>
    <n v="1422"/>
    <n v="25.62"/>
    <n v="25.18"/>
    <n v="65"/>
    <x v="0"/>
    <n v="19"/>
    <x v="466"/>
    <n v="36431.64"/>
    <n v="625.68000000000029"/>
    <n v="1.7174082747853248E-2"/>
    <n v="4.5710267229254573E-2"/>
    <s v="Cancelled"/>
    <s v="Status-Date Conflict"/>
  </r>
  <r>
    <s v="PO-00468"/>
    <x v="1"/>
    <x v="197"/>
    <m/>
    <x v="3"/>
    <x v="1"/>
    <n v="546"/>
    <n v="82.63"/>
    <n v="74.77"/>
    <n v="76"/>
    <x v="1"/>
    <s v=""/>
    <x v="467"/>
    <n v="45115.979999999996"/>
    <n v="4291.5599999999977"/>
    <n v="9.5122836742103312E-2"/>
    <n v="0.1391941391941392"/>
    <s v="Missing Delivery Date"/>
    <s v="Missing Delivery Date"/>
  </r>
  <r>
    <s v="PO-00469"/>
    <x v="2"/>
    <x v="221"/>
    <d v="2022-09-22T00:00:00"/>
    <x v="0"/>
    <x v="2"/>
    <n v="351"/>
    <n v="72.08"/>
    <n v="71.3"/>
    <n v="20"/>
    <x v="0"/>
    <n v="10"/>
    <x v="468"/>
    <n v="25300.079999999998"/>
    <n v="273.77999999999884"/>
    <n v="1.0821309655937802E-2"/>
    <n v="5.6980056980056981E-2"/>
    <s v="Partially Delivered"/>
    <s v="Status-Date Conflict"/>
  </r>
  <r>
    <s v="PO-00470"/>
    <x v="1"/>
    <x v="73"/>
    <d v="2022-10-18T00:00:00"/>
    <x v="3"/>
    <x v="2"/>
    <n v="230"/>
    <n v="13"/>
    <n v="12.81"/>
    <m/>
    <x v="1"/>
    <n v="17"/>
    <x v="469"/>
    <n v="2990"/>
    <n v="43.699999999999818"/>
    <n v="1.4615384615384554E-2"/>
    <n v="0"/>
    <s v="Partially Delivered"/>
    <s v="Status-Date Conflict"/>
  </r>
  <r>
    <s v="PO-00471"/>
    <x v="0"/>
    <x v="31"/>
    <d v="2022-06-19T00:00:00"/>
    <x v="1"/>
    <x v="1"/>
    <n v="656"/>
    <n v="30.73"/>
    <n v="26.26"/>
    <n v="17"/>
    <x v="0"/>
    <n v="6"/>
    <x v="470"/>
    <n v="20158.88"/>
    <n v="2932.3199999999997"/>
    <n v="0.14546046208916366"/>
    <n v="2.5914634146341462E-2"/>
    <s v="On Time"/>
    <s v="OK"/>
  </r>
  <r>
    <s v="PO-00472"/>
    <x v="2"/>
    <x v="24"/>
    <d v="2024-01-09T00:00:00"/>
    <x v="1"/>
    <x v="1"/>
    <n v="1172"/>
    <n v="34.340000000000003"/>
    <n v="32.090000000000003"/>
    <n v="69"/>
    <x v="0"/>
    <n v="20"/>
    <x v="471"/>
    <n v="40246.480000000003"/>
    <n v="2637"/>
    <n v="6.5521258008153754E-2"/>
    <n v="5.8873720136518773E-2"/>
    <s v="Late"/>
    <s v="OK"/>
  </r>
  <r>
    <s v="PO-00473"/>
    <x v="2"/>
    <x v="337"/>
    <d v="2022-04-30T00:00:00"/>
    <x v="5"/>
    <x v="1"/>
    <n v="749"/>
    <n v="71.53"/>
    <n v="70.02"/>
    <n v="41"/>
    <x v="0"/>
    <n v="9"/>
    <x v="472"/>
    <n v="53575.97"/>
    <n v="1130.9900000000052"/>
    <n v="2.1110023766252019E-2"/>
    <n v="5.4739652870493989E-2"/>
    <s v="On Time"/>
    <s v="OK"/>
  </r>
  <r>
    <s v="PO-00474"/>
    <x v="3"/>
    <x v="338"/>
    <d v="2023-02-12T00:00:00"/>
    <x v="2"/>
    <x v="1"/>
    <n v="1042"/>
    <n v="12.48"/>
    <n v="12.3"/>
    <n v="88"/>
    <x v="0"/>
    <n v="16"/>
    <x v="473"/>
    <n v="13004.16"/>
    <n v="187.55999999999949"/>
    <n v="1.4423076923076884E-2"/>
    <n v="8.4452975047984644E-2"/>
    <s v="Late"/>
    <s v="OK"/>
  </r>
  <r>
    <s v="PO-00475"/>
    <x v="1"/>
    <x v="339"/>
    <d v="2022-02-27T00:00:00"/>
    <x v="3"/>
    <x v="1"/>
    <n v="1189"/>
    <n v="19.47"/>
    <n v="17.149999999999999"/>
    <m/>
    <x v="1"/>
    <n v="18"/>
    <x v="474"/>
    <n v="23149.829999999998"/>
    <n v="2758.4799999999996"/>
    <n v="0.11915767847971237"/>
    <n v="0"/>
    <s v="Late"/>
    <s v="OK"/>
  </r>
  <r>
    <s v="PO-00476"/>
    <x v="4"/>
    <x v="340"/>
    <m/>
    <x v="0"/>
    <x v="1"/>
    <n v="240"/>
    <n v="88.14"/>
    <n v="81.900000000000006"/>
    <n v="4"/>
    <x v="0"/>
    <s v=""/>
    <x v="475"/>
    <n v="21153.599999999999"/>
    <n v="1497.5999999999985"/>
    <n v="7.079646017699108E-2"/>
    <n v="1.6666666666666666E-2"/>
    <s v="Missing Delivery Date"/>
    <s v="Missing Delivery Date"/>
  </r>
  <r>
    <s v="PO-00477"/>
    <x v="4"/>
    <x v="341"/>
    <d v="2022-09-02T00:00:00"/>
    <x v="1"/>
    <x v="1"/>
    <n v="302"/>
    <n v="26.98"/>
    <n v="26.47"/>
    <n v="9"/>
    <x v="0"/>
    <n v="17"/>
    <x v="476"/>
    <n v="8147.96"/>
    <n v="154.02000000000044"/>
    <n v="1.8902891030392936E-2"/>
    <n v="2.9801324503311258E-2"/>
    <s v="Late"/>
    <s v="OK"/>
  </r>
  <r>
    <s v="PO-00478"/>
    <x v="3"/>
    <x v="342"/>
    <d v="2022-08-03T00:00:00"/>
    <x v="1"/>
    <x v="3"/>
    <n v="1030"/>
    <n v="70.81"/>
    <n v="61.58"/>
    <m/>
    <x v="1"/>
    <n v="10"/>
    <x v="477"/>
    <n v="72934.3"/>
    <n v="9506.9000000000015"/>
    <n v="0.13034882078802432"/>
    <n v="0"/>
    <s v="Pending"/>
    <s v="Status-Date Conflict"/>
  </r>
  <r>
    <s v="PO-00479"/>
    <x v="1"/>
    <x v="343"/>
    <d v="2023-04-23T00:00:00"/>
    <x v="0"/>
    <x v="1"/>
    <n v="977"/>
    <n v="33.79"/>
    <n v="32.25"/>
    <n v="137"/>
    <x v="0"/>
    <n v="6"/>
    <x v="478"/>
    <n v="33012.83"/>
    <n v="1504.5800000000017"/>
    <n v="4.557561408700804E-2"/>
    <n v="0.14022517911975435"/>
    <s v="On Time"/>
    <s v="OK"/>
  </r>
  <r>
    <s v="PO-00480"/>
    <x v="0"/>
    <x v="344"/>
    <d v="2023-01-11T00:00:00"/>
    <x v="2"/>
    <x v="1"/>
    <n v="1234"/>
    <n v="19.989999999999998"/>
    <n v="17.66"/>
    <n v="25"/>
    <x v="0"/>
    <n v="17"/>
    <x v="479"/>
    <n v="24667.66"/>
    <n v="2875.2200000000012"/>
    <n v="0.11655827913956983"/>
    <n v="2.0259319286871962E-2"/>
    <s v="Late"/>
    <s v="OK"/>
  </r>
  <r>
    <s v="PO-00481"/>
    <x v="3"/>
    <x v="345"/>
    <d v="2022-11-23T00:00:00"/>
    <x v="0"/>
    <x v="1"/>
    <n v="1329"/>
    <n v="33.479999999999997"/>
    <n v="33.06"/>
    <n v="146"/>
    <x v="0"/>
    <n v="14"/>
    <x v="480"/>
    <n v="44494.92"/>
    <n v="558.17999999999302"/>
    <n v="1.2544802867383357E-2"/>
    <n v="0.10985703536493605"/>
    <s v="Late"/>
    <s v="OK"/>
  </r>
  <r>
    <s v="PO-00482"/>
    <x v="2"/>
    <x v="61"/>
    <d v="2022-08-30T00:00:00"/>
    <x v="3"/>
    <x v="1"/>
    <n v="1396"/>
    <n v="77.63"/>
    <n v="67.81"/>
    <n v="58"/>
    <x v="0"/>
    <n v="8"/>
    <x v="481"/>
    <n v="108371.48"/>
    <n v="13708.719999999987"/>
    <n v="0.12649748808450328"/>
    <n v="4.1547277936962751E-2"/>
    <s v="On Time"/>
    <s v="OK"/>
  </r>
  <r>
    <s v="PO-00483"/>
    <x v="0"/>
    <x v="5"/>
    <d v="2022-08-29T00:00:00"/>
    <x v="3"/>
    <x v="1"/>
    <n v="177"/>
    <n v="90.06"/>
    <n v="87.71"/>
    <n v="7"/>
    <x v="0"/>
    <n v="12"/>
    <x v="482"/>
    <n v="15940.62"/>
    <n v="415.95000000000255"/>
    <n v="2.6093715300910661E-2"/>
    <n v="3.954802259887006E-2"/>
    <s v="Late"/>
    <s v="OK"/>
  </r>
  <r>
    <s v="PO-00484"/>
    <x v="1"/>
    <x v="346"/>
    <m/>
    <x v="5"/>
    <x v="1"/>
    <n v="67"/>
    <n v="84.72"/>
    <n v="73.06"/>
    <n v="9"/>
    <x v="0"/>
    <s v=""/>
    <x v="483"/>
    <n v="5676.24"/>
    <n v="781.21999999999935"/>
    <n v="0.13762983947119914"/>
    <n v="0.13432835820895522"/>
    <s v="Missing Delivery Date"/>
    <s v="Missing Delivery Date"/>
  </r>
  <r>
    <s v="PO-00485"/>
    <x v="2"/>
    <x v="164"/>
    <d v="2023-11-20T00:00:00"/>
    <x v="0"/>
    <x v="1"/>
    <n v="1866"/>
    <n v="50.78"/>
    <n v="48.2"/>
    <n v="96"/>
    <x v="0"/>
    <n v="13"/>
    <x v="484"/>
    <n v="94755.48"/>
    <n v="4814.2799999999843"/>
    <n v="5.0807404489956513E-2"/>
    <n v="5.1446945337620578E-2"/>
    <s v="Late"/>
    <s v="OK"/>
  </r>
  <r>
    <s v="PO-00486"/>
    <x v="4"/>
    <x v="347"/>
    <d v="2022-07-25T00:00:00"/>
    <x v="1"/>
    <x v="1"/>
    <n v="1808"/>
    <n v="72.23"/>
    <n v="67.86"/>
    <n v="53"/>
    <x v="0"/>
    <n v="8"/>
    <x v="485"/>
    <n v="130591.84000000001"/>
    <n v="7900.9600000000064"/>
    <n v="6.0501176796345056E-2"/>
    <n v="2.9314159292035399E-2"/>
    <s v="On Time"/>
    <s v="OK"/>
  </r>
  <r>
    <s v="PO-00487"/>
    <x v="1"/>
    <x v="113"/>
    <d v="2023-02-16T00:00:00"/>
    <x v="5"/>
    <x v="0"/>
    <n v="615"/>
    <n v="30.3"/>
    <n v="29.52"/>
    <n v="96"/>
    <x v="0"/>
    <n v="3"/>
    <x v="486"/>
    <n v="18634.5"/>
    <n v="479.70000000000073"/>
    <n v="2.5742574257425783E-2"/>
    <n v="0.15609756097560976"/>
    <s v="Cancelled"/>
    <s v="Status-Date Conflict"/>
  </r>
  <r>
    <s v="PO-00488"/>
    <x v="2"/>
    <x v="348"/>
    <d v="2022-12-04T00:00:00"/>
    <x v="0"/>
    <x v="3"/>
    <n v="619"/>
    <n v="38.380000000000003"/>
    <n v="35.020000000000003"/>
    <n v="34"/>
    <x v="0"/>
    <n v="1"/>
    <x v="487"/>
    <n v="23757.22"/>
    <n v="2079.84"/>
    <n v="8.7545596664929656E-2"/>
    <n v="5.492730210016155E-2"/>
    <s v="Pending"/>
    <s v="Status-Date Conflict"/>
  </r>
  <r>
    <s v="PO-00489"/>
    <x v="1"/>
    <x v="196"/>
    <d v="2022-10-17T00:00:00"/>
    <x v="0"/>
    <x v="1"/>
    <n v="1396"/>
    <n v="94.75"/>
    <n v="84.06"/>
    <n v="210"/>
    <x v="0"/>
    <n v="4"/>
    <x v="488"/>
    <n v="132271"/>
    <n v="14923.239999999991"/>
    <n v="0.1128232189973614"/>
    <n v="0.1504297994269341"/>
    <s v="On Time"/>
    <s v="OK"/>
  </r>
  <r>
    <s v="PO-00490"/>
    <x v="2"/>
    <x v="58"/>
    <d v="2022-03-24T00:00:00"/>
    <x v="1"/>
    <x v="1"/>
    <n v="1945"/>
    <n v="11.28"/>
    <n v="9.98"/>
    <n v="94"/>
    <x v="0"/>
    <n v="11"/>
    <x v="489"/>
    <n v="21939.599999999999"/>
    <n v="2528.4999999999964"/>
    <n v="0.11524822695035446"/>
    <n v="4.8329048843187658E-2"/>
    <s v="Late"/>
    <s v="OK"/>
  </r>
  <r>
    <s v="PO-00491"/>
    <x v="1"/>
    <x v="196"/>
    <d v="2022-10-18T00:00:00"/>
    <x v="2"/>
    <x v="1"/>
    <n v="735"/>
    <n v="18.489999999999998"/>
    <n v="15.89"/>
    <n v="113"/>
    <x v="1"/>
    <n v="5"/>
    <x v="490"/>
    <n v="13590.15"/>
    <n v="1911"/>
    <n v="0.14061654948620878"/>
    <n v="0.15374149659863945"/>
    <s v="On Time"/>
    <s v="OK"/>
  </r>
  <r>
    <s v="PO-00492"/>
    <x v="4"/>
    <x v="349"/>
    <d v="2023-01-11T00:00:00"/>
    <x v="0"/>
    <x v="3"/>
    <n v="1865"/>
    <n v="30.29"/>
    <n v="26.83"/>
    <n v="56"/>
    <x v="0"/>
    <n v="16"/>
    <x v="491"/>
    <n v="56490.85"/>
    <n v="6452.9000000000015"/>
    <n v="0.11422911852096404"/>
    <n v="3.0026809651474532E-2"/>
    <s v="Pending"/>
    <s v="Status-Date Conflict"/>
  </r>
  <r>
    <s v="PO-00493"/>
    <x v="3"/>
    <x v="134"/>
    <d v="2023-10-24T00:00:00"/>
    <x v="5"/>
    <x v="0"/>
    <n v="675"/>
    <n v="13.69"/>
    <n v="11.84"/>
    <n v="52"/>
    <x v="0"/>
    <n v="5"/>
    <x v="492"/>
    <n v="9240.75"/>
    <n v="1248.75"/>
    <n v="0.13513513513513514"/>
    <n v="7.7037037037037043E-2"/>
    <s v="Cancelled"/>
    <s v="Status-Date Conflict"/>
  </r>
  <r>
    <s v="PO-00494"/>
    <x v="2"/>
    <x v="115"/>
    <d v="2023-06-22T00:00:00"/>
    <x v="1"/>
    <x v="3"/>
    <n v="1361"/>
    <n v="28.57"/>
    <n v="24.29"/>
    <n v="65"/>
    <x v="0"/>
    <n v="16"/>
    <x v="493"/>
    <n v="38883.769999999997"/>
    <n v="5825.0799999999945"/>
    <n v="0.1498074903745186"/>
    <n v="4.7759000734753858E-2"/>
    <s v="Pending"/>
    <s v="Status-Date Conflict"/>
  </r>
  <r>
    <s v="PO-00495"/>
    <x v="2"/>
    <x v="350"/>
    <d v="2023-02-15T00:00:00"/>
    <x v="3"/>
    <x v="1"/>
    <n v="903"/>
    <n v="66.53"/>
    <n v="60.15"/>
    <n v="29"/>
    <x v="0"/>
    <n v="1"/>
    <x v="494"/>
    <n v="60076.590000000004"/>
    <n v="5761.1400000000067"/>
    <n v="9.5896588005411204E-2"/>
    <n v="3.2115171650055369E-2"/>
    <s v="On Time"/>
    <s v="OK"/>
  </r>
  <r>
    <s v="PO-00496"/>
    <x v="4"/>
    <x v="351"/>
    <m/>
    <x v="2"/>
    <x v="0"/>
    <n v="1736"/>
    <n v="53.2"/>
    <n v="50.68"/>
    <n v="48"/>
    <x v="0"/>
    <s v=""/>
    <x v="495"/>
    <n v="92355.200000000012"/>
    <n v="4374.7200000000157"/>
    <n v="4.736842105263174E-2"/>
    <n v="2.7649769585253458E-2"/>
    <s v="Cancelled"/>
    <s v="OK"/>
  </r>
  <r>
    <s v="PO-00497"/>
    <x v="3"/>
    <x v="46"/>
    <d v="2023-07-11T00:00:00"/>
    <x v="1"/>
    <x v="1"/>
    <n v="1011"/>
    <n v="98.47"/>
    <n v="97.06"/>
    <n v="91"/>
    <x v="0"/>
    <n v="7"/>
    <x v="496"/>
    <n v="99553.17"/>
    <n v="1425.5099999999948"/>
    <n v="1.4319081953894535E-2"/>
    <n v="9.0009891196834821E-2"/>
    <s v="On Time"/>
    <s v="OK"/>
  </r>
  <r>
    <s v="PO-00498"/>
    <x v="1"/>
    <x v="352"/>
    <d v="2022-12-24T00:00:00"/>
    <x v="5"/>
    <x v="1"/>
    <n v="1712"/>
    <n v="88.17"/>
    <n v="85.86"/>
    <n v="246"/>
    <x v="0"/>
    <n v="18"/>
    <x v="497"/>
    <n v="150947.04"/>
    <n v="3954.7200000000012"/>
    <n v="2.6199387546784626E-2"/>
    <n v="0.14369158878504673"/>
    <s v="Late"/>
    <s v="OK"/>
  </r>
  <r>
    <s v="PO-00499"/>
    <x v="2"/>
    <x v="353"/>
    <m/>
    <x v="0"/>
    <x v="1"/>
    <n v="204"/>
    <n v="40.76"/>
    <n v="37.46"/>
    <n v="10"/>
    <x v="0"/>
    <s v=""/>
    <x v="498"/>
    <n v="8315.0399999999991"/>
    <n v="673.19999999999891"/>
    <n v="8.0961727183513132E-2"/>
    <n v="4.9019607843137254E-2"/>
    <s v="Missing Delivery Date"/>
    <s v="Missing Delivery Date"/>
  </r>
  <r>
    <s v="PO-00500"/>
    <x v="3"/>
    <x v="298"/>
    <d v="2022-05-13T00:00:00"/>
    <x v="5"/>
    <x v="2"/>
    <n v="539"/>
    <n v="33.85"/>
    <n v="30.57"/>
    <n v="34"/>
    <x v="1"/>
    <n v="14"/>
    <x v="499"/>
    <n v="18245.150000000001"/>
    <n v="1767.9200000000019"/>
    <n v="9.6898079763663311E-2"/>
    <n v="6.3079777365491654E-2"/>
    <s v="Partially Delivered"/>
    <s v="Status-Date Conflict"/>
  </r>
  <r>
    <s v="PO-00501"/>
    <x v="1"/>
    <x v="270"/>
    <d v="2022-10-05T00:00:00"/>
    <x v="0"/>
    <x v="1"/>
    <n v="1459"/>
    <n v="45.94"/>
    <n v="42.56"/>
    <n v="212"/>
    <x v="1"/>
    <n v="10"/>
    <x v="500"/>
    <n v="67026.459999999992"/>
    <n v="4931.419999999991"/>
    <n v="7.3574227252938496E-2"/>
    <n v="0.14530500342700481"/>
    <s v="On Time"/>
    <s v="OK"/>
  </r>
  <r>
    <s v="PO-00502"/>
    <x v="2"/>
    <x v="139"/>
    <d v="2022-07-06T00:00:00"/>
    <x v="1"/>
    <x v="1"/>
    <n v="834"/>
    <n v="65.02"/>
    <n v="56.19"/>
    <m/>
    <x v="0"/>
    <n v="4"/>
    <x v="501"/>
    <n v="54226.68"/>
    <n v="7364.2200000000012"/>
    <n v="0.13580436788680408"/>
    <n v="0"/>
    <s v="On Time"/>
    <s v="OK"/>
  </r>
  <r>
    <s v="PO-00503"/>
    <x v="2"/>
    <x v="354"/>
    <d v="2023-09-01T00:00:00"/>
    <x v="2"/>
    <x v="2"/>
    <n v="1177"/>
    <n v="37.369999999999997"/>
    <n v="34.270000000000003"/>
    <n v="60"/>
    <x v="0"/>
    <n v="14"/>
    <x v="502"/>
    <n v="43984.49"/>
    <n v="3648.6999999999971"/>
    <n v="8.2954241370082893E-2"/>
    <n v="5.0977060322854713E-2"/>
    <s v="Partially Delivered"/>
    <s v="Status-Date Conflict"/>
  </r>
  <r>
    <s v="PO-00504"/>
    <x v="1"/>
    <x v="106"/>
    <d v="2022-10-19T00:00:00"/>
    <x v="1"/>
    <x v="1"/>
    <n v="1466"/>
    <n v="68.819999999999993"/>
    <n v="66.819999999999993"/>
    <n v="211"/>
    <x v="0"/>
    <n v="20"/>
    <x v="503"/>
    <n v="100890.12"/>
    <n v="2932"/>
    <n v="2.9061319383900032E-2"/>
    <n v="0.14392905866302866"/>
    <s v="Late"/>
    <s v="OK"/>
  </r>
  <r>
    <s v="PO-00505"/>
    <x v="4"/>
    <x v="339"/>
    <d v="2022-02-13T00:00:00"/>
    <x v="5"/>
    <x v="1"/>
    <n v="1884"/>
    <n v="47.08"/>
    <n v="44.31"/>
    <n v="54"/>
    <x v="0"/>
    <n v="4"/>
    <x v="504"/>
    <n v="88698.72"/>
    <n v="5218.679999999993"/>
    <n v="5.8836023789294735E-2"/>
    <n v="2.8662420382165606E-2"/>
    <s v="On Time"/>
    <s v="OK"/>
  </r>
  <r>
    <s v="PO-00506"/>
    <x v="3"/>
    <x v="220"/>
    <d v="2022-05-08T00:00:00"/>
    <x v="5"/>
    <x v="1"/>
    <n v="295"/>
    <n v="60.58"/>
    <n v="57.32"/>
    <n v="31"/>
    <x v="0"/>
    <n v="16"/>
    <x v="505"/>
    <n v="17871.099999999999"/>
    <n v="961.69999999999709"/>
    <n v="5.3813139650049364E-2"/>
    <n v="0.10508474576271186"/>
    <s v="Late"/>
    <s v="OK"/>
  </r>
  <r>
    <s v="PO-00507"/>
    <x v="2"/>
    <x v="123"/>
    <d v="2023-09-04T00:00:00"/>
    <x v="3"/>
    <x v="1"/>
    <n v="1249"/>
    <n v="54.18"/>
    <n v="47.29"/>
    <n v="59"/>
    <x v="0"/>
    <n v="1"/>
    <x v="506"/>
    <n v="67670.819999999992"/>
    <n v="8605.6099999999933"/>
    <n v="0.12716869693613872"/>
    <n v="4.7237790232185752E-2"/>
    <s v="On Time"/>
    <s v="OK"/>
  </r>
  <r>
    <s v="PO-00508"/>
    <x v="1"/>
    <x v="355"/>
    <d v="2023-04-09T00:00:00"/>
    <x v="3"/>
    <x v="1"/>
    <n v="1112"/>
    <n v="39.06"/>
    <n v="33.6"/>
    <n v="184"/>
    <x v="1"/>
    <n v="19"/>
    <x v="507"/>
    <n v="43434.720000000001"/>
    <n v="6071.5199999999968"/>
    <n v="0.13978494623655907"/>
    <n v="0.16546762589928057"/>
    <s v="Late"/>
    <s v="OK"/>
  </r>
  <r>
    <s v="PO-00509"/>
    <x v="2"/>
    <x v="356"/>
    <d v="2022-12-25T00:00:00"/>
    <x v="0"/>
    <x v="1"/>
    <n v="1550"/>
    <n v="100.61"/>
    <n v="97.43"/>
    <n v="66"/>
    <x v="0"/>
    <n v="5"/>
    <x v="508"/>
    <n v="155945.5"/>
    <n v="4929"/>
    <n v="3.160719610376702E-2"/>
    <n v="4.2580645161290322E-2"/>
    <s v="On Time"/>
    <s v="OK"/>
  </r>
  <r>
    <s v="PO-00510"/>
    <x v="1"/>
    <x v="249"/>
    <d v="2022-11-19T00:00:00"/>
    <x v="5"/>
    <x v="1"/>
    <n v="1755"/>
    <n v="82.66"/>
    <n v="73.67"/>
    <n v="258"/>
    <x v="1"/>
    <n v="1"/>
    <x v="509"/>
    <n v="145068.29999999999"/>
    <n v="15777.449999999983"/>
    <n v="0.10875877086861832"/>
    <n v="0.14700854700854701"/>
    <s v="On Time"/>
    <s v="OK"/>
  </r>
  <r>
    <s v="PO-00511"/>
    <x v="2"/>
    <x v="357"/>
    <d v="2023-03-31T00:00:00"/>
    <x v="3"/>
    <x v="1"/>
    <n v="808"/>
    <n v="24.19"/>
    <n v="21.64"/>
    <n v="39"/>
    <x v="0"/>
    <n v="8"/>
    <x v="510"/>
    <n v="19545.52"/>
    <n v="2060.4000000000015"/>
    <n v="0.10541546093427043"/>
    <n v="4.8267326732673269E-2"/>
    <s v="On Time"/>
    <s v="OK"/>
  </r>
  <r>
    <s v="PO-00512"/>
    <x v="0"/>
    <x v="358"/>
    <d v="2023-09-19T00:00:00"/>
    <x v="3"/>
    <x v="2"/>
    <n v="587"/>
    <n v="96.98"/>
    <n v="95.35"/>
    <n v="14"/>
    <x v="0"/>
    <n v="6"/>
    <x v="511"/>
    <n v="56927.26"/>
    <n v="956.81000000000495"/>
    <n v="1.6807589193648262E-2"/>
    <n v="2.385008517887564E-2"/>
    <s v="Partially Delivered"/>
    <s v="Status-Date Conflict"/>
  </r>
  <r>
    <s v="PO-00513"/>
    <x v="4"/>
    <x v="359"/>
    <d v="2023-06-11T00:00:00"/>
    <x v="1"/>
    <x v="1"/>
    <n v="1940"/>
    <n v="58.45"/>
    <n v="50.29"/>
    <n v="54"/>
    <x v="0"/>
    <n v="3"/>
    <x v="512"/>
    <n v="113393"/>
    <n v="15830.400000000009"/>
    <n v="0.13960650128314805"/>
    <n v="2.7835051546391754E-2"/>
    <s v="On Time"/>
    <s v="OK"/>
  </r>
  <r>
    <s v="PO-00514"/>
    <x v="3"/>
    <x v="298"/>
    <d v="2022-05-11T00:00:00"/>
    <x v="0"/>
    <x v="0"/>
    <n v="1891"/>
    <n v="91.87"/>
    <n v="80.28"/>
    <n v="158"/>
    <x v="0"/>
    <n v="12"/>
    <x v="513"/>
    <n v="173726.17"/>
    <n v="21916.690000000002"/>
    <n v="0.12615652552519865"/>
    <n v="8.3553675304071914E-2"/>
    <s v="Cancelled"/>
    <s v="Status-Date Conflict"/>
  </r>
  <r>
    <s v="PO-00515"/>
    <x v="4"/>
    <x v="125"/>
    <d v="2023-02-16T00:00:00"/>
    <x v="2"/>
    <x v="1"/>
    <n v="970"/>
    <n v="86.91"/>
    <n v="78.44"/>
    <n v="18"/>
    <x v="0"/>
    <n v="17"/>
    <x v="514"/>
    <n v="84302.7"/>
    <n v="8215.8999999999942"/>
    <n v="9.7457139569669712E-2"/>
    <n v="1.8556701030927835E-2"/>
    <s v="Late"/>
    <s v="OK"/>
  </r>
  <r>
    <s v="PO-00516"/>
    <x v="4"/>
    <x v="201"/>
    <d v="2023-08-31T00:00:00"/>
    <x v="1"/>
    <x v="1"/>
    <n v="457"/>
    <n v="52.85"/>
    <n v="50.34"/>
    <n v="16"/>
    <x v="0"/>
    <n v="17"/>
    <x v="515"/>
    <n v="24152.45"/>
    <n v="1147.0699999999997"/>
    <n v="4.7492904446546816E-2"/>
    <n v="3.5010940919037198E-2"/>
    <s v="Late"/>
    <s v="OK"/>
  </r>
  <r>
    <s v="PO-00517"/>
    <x v="3"/>
    <x v="205"/>
    <d v="2022-07-27T00:00:00"/>
    <x v="0"/>
    <x v="0"/>
    <n v="574"/>
    <n v="12.38"/>
    <n v="11.47"/>
    <m/>
    <x v="1"/>
    <n v="13"/>
    <x v="516"/>
    <n v="7106.1200000000008"/>
    <n v="522.34000000000015"/>
    <n v="7.3505654281098565E-2"/>
    <n v="0"/>
    <s v="Cancelled"/>
    <s v="Status-Date Conflict"/>
  </r>
  <r>
    <s v="PO-00518"/>
    <x v="4"/>
    <x v="360"/>
    <d v="2022-09-20T00:00:00"/>
    <x v="0"/>
    <x v="1"/>
    <n v="877"/>
    <n v="35.549999999999997"/>
    <n v="34.69"/>
    <n v="24"/>
    <x v="0"/>
    <n v="2"/>
    <x v="517"/>
    <n v="31177.35"/>
    <n v="754.22000000000116"/>
    <n v="2.4191279887482459E-2"/>
    <n v="2.7366020524515394E-2"/>
    <s v="On Time"/>
    <s v="OK"/>
  </r>
  <r>
    <s v="PO-00519"/>
    <x v="0"/>
    <x v="309"/>
    <d v="2022-02-27T00:00:00"/>
    <x v="1"/>
    <x v="1"/>
    <n v="1579"/>
    <n v="59.04"/>
    <n v="50.95"/>
    <n v="29"/>
    <x v="0"/>
    <n v="12"/>
    <x v="518"/>
    <n v="93224.16"/>
    <n v="12774.11"/>
    <n v="0.13702574525745256"/>
    <n v="1.8366054464851171E-2"/>
    <s v="Late"/>
    <s v="OK"/>
  </r>
  <r>
    <s v="PO-00520"/>
    <x v="1"/>
    <x v="361"/>
    <d v="2023-12-28T00:00:00"/>
    <x v="3"/>
    <x v="1"/>
    <n v="952"/>
    <n v="74.72"/>
    <n v="69.73"/>
    <m/>
    <x v="0"/>
    <n v="1"/>
    <x v="519"/>
    <n v="71133.440000000002"/>
    <n v="4750.4799999999959"/>
    <n v="6.6782655246252612E-2"/>
    <n v="0"/>
    <s v="On Time"/>
    <s v="OK"/>
  </r>
  <r>
    <s v="PO-00521"/>
    <x v="3"/>
    <x v="357"/>
    <d v="2023-03-26T00:00:00"/>
    <x v="3"/>
    <x v="3"/>
    <n v="1898"/>
    <n v="35.53"/>
    <n v="33.25"/>
    <n v="187"/>
    <x v="0"/>
    <n v="3"/>
    <x v="520"/>
    <n v="67435.94"/>
    <n v="4327.4400000000023"/>
    <n v="6.4171122994652441E-2"/>
    <n v="9.8524762908324556E-2"/>
    <s v="Pending"/>
    <s v="Status-Date Conflict"/>
  </r>
  <r>
    <s v="PO-00522"/>
    <x v="1"/>
    <x v="362"/>
    <d v="2022-01-06T00:00:00"/>
    <x v="2"/>
    <x v="1"/>
    <n v="85"/>
    <n v="22.54"/>
    <n v="20.68"/>
    <n v="6"/>
    <x v="0"/>
    <n v="4"/>
    <x v="521"/>
    <n v="1915.8999999999999"/>
    <n v="158.09999999999991"/>
    <n v="8.2519964507542107E-2"/>
    <n v="7.0588235294117646E-2"/>
    <s v="On Time"/>
    <s v="OK"/>
  </r>
  <r>
    <s v="PO-00523"/>
    <x v="2"/>
    <x v="363"/>
    <d v="2023-06-28T00:00:00"/>
    <x v="2"/>
    <x v="3"/>
    <n v="734"/>
    <n v="92.38"/>
    <n v="78.92"/>
    <n v="34"/>
    <x v="1"/>
    <n v="11"/>
    <x v="522"/>
    <n v="67806.92"/>
    <n v="9879.64"/>
    <n v="0.14570253301580427"/>
    <n v="4.632152588555858E-2"/>
    <s v="Pending"/>
    <s v="Status-Date Conflict"/>
  </r>
  <r>
    <s v="PO-00524"/>
    <x v="0"/>
    <x v="108"/>
    <d v="2023-07-18T00:00:00"/>
    <x v="0"/>
    <x v="1"/>
    <n v="69"/>
    <n v="107.47"/>
    <n v="105.53"/>
    <m/>
    <x v="0"/>
    <n v="12"/>
    <x v="523"/>
    <n v="7415.43"/>
    <n v="133.86000000000058"/>
    <n v="1.8051549269563677E-2"/>
    <n v="0"/>
    <s v="Late"/>
    <s v="OK"/>
  </r>
  <r>
    <s v="PO-00525"/>
    <x v="1"/>
    <x v="306"/>
    <d v="2023-12-11T00:00:00"/>
    <x v="2"/>
    <x v="1"/>
    <n v="370"/>
    <n v="63.9"/>
    <n v="55.79"/>
    <n v="59"/>
    <x v="0"/>
    <n v="6"/>
    <x v="524"/>
    <n v="23643"/>
    <n v="3000.7000000000007"/>
    <n v="0.12691705790297342"/>
    <n v="0.15945945945945947"/>
    <s v="On Time"/>
    <s v="OK"/>
  </r>
  <r>
    <s v="PO-00526"/>
    <x v="1"/>
    <x v="72"/>
    <d v="2023-12-03T00:00:00"/>
    <x v="1"/>
    <x v="1"/>
    <n v="1849"/>
    <n v="28.25"/>
    <n v="27.53"/>
    <n v="271"/>
    <x v="0"/>
    <n v="15"/>
    <x v="525"/>
    <n v="52234.25"/>
    <n v="1331.2799999999988"/>
    <n v="2.5486725663716792E-2"/>
    <n v="0.14656571119524067"/>
    <s v="Late"/>
    <s v="OK"/>
  </r>
  <r>
    <s v="PO-00527"/>
    <x v="3"/>
    <x v="364"/>
    <m/>
    <x v="2"/>
    <x v="1"/>
    <n v="561"/>
    <n v="35.54"/>
    <n v="30.99"/>
    <n v="68"/>
    <x v="1"/>
    <s v=""/>
    <x v="526"/>
    <n v="19937.939999999999"/>
    <n v="2552.5499999999993"/>
    <n v="0.12802476083286435"/>
    <n v="0.12121212121212122"/>
    <s v="Missing Delivery Date"/>
    <s v="Missing Delivery Date"/>
  </r>
  <r>
    <s v="PO-00528"/>
    <x v="2"/>
    <x v="365"/>
    <d v="2023-01-14T00:00:00"/>
    <x v="5"/>
    <x v="1"/>
    <n v="449"/>
    <n v="12.35"/>
    <n v="10.67"/>
    <n v="29"/>
    <x v="0"/>
    <n v="6"/>
    <x v="527"/>
    <n v="5545.15"/>
    <n v="754.31999999999971"/>
    <n v="0.13603238866396758"/>
    <n v="6.4587973273942098E-2"/>
    <s v="On Time"/>
    <s v="OK"/>
  </r>
  <r>
    <s v="PO-00529"/>
    <x v="3"/>
    <x v="208"/>
    <d v="2023-03-21T00:00:00"/>
    <x v="0"/>
    <x v="1"/>
    <n v="703"/>
    <n v="98.75"/>
    <n v="86.78"/>
    <n v="59"/>
    <x v="0"/>
    <n v="3"/>
    <x v="528"/>
    <n v="69421.25"/>
    <n v="8414.9099999999962"/>
    <n v="0.12121518987341767"/>
    <n v="8.392603129445235E-2"/>
    <s v="On Time"/>
    <s v="OK"/>
  </r>
  <r>
    <s v="PO-00530"/>
    <x v="2"/>
    <x v="58"/>
    <d v="2022-03-28T00:00:00"/>
    <x v="5"/>
    <x v="1"/>
    <n v="1021"/>
    <n v="20.8"/>
    <n v="18.23"/>
    <n v="37"/>
    <x v="0"/>
    <n v="15"/>
    <x v="529"/>
    <n v="21236.799999999999"/>
    <n v="2623.9699999999975"/>
    <n v="0.1235576923076922"/>
    <n v="3.6238981390793339E-2"/>
    <s v="Late"/>
    <s v="OK"/>
  </r>
  <r>
    <s v="PO-00531"/>
    <x v="3"/>
    <x v="366"/>
    <d v="2023-11-19T00:00:00"/>
    <x v="0"/>
    <x v="1"/>
    <n v="1956"/>
    <n v="68.69"/>
    <n v="65.09"/>
    <m/>
    <x v="0"/>
    <n v="7"/>
    <x v="530"/>
    <n v="134357.63999999998"/>
    <n v="7041.5999999999767"/>
    <n v="5.2409375454942328E-2"/>
    <n v="0"/>
    <s v="On Time"/>
    <s v="OK"/>
  </r>
  <r>
    <s v="PO-00532"/>
    <x v="1"/>
    <x v="193"/>
    <d v="2022-12-12T00:00:00"/>
    <x v="0"/>
    <x v="2"/>
    <n v="520"/>
    <n v="36.57"/>
    <n v="34.78"/>
    <n v="67"/>
    <x v="1"/>
    <n v="7"/>
    <x v="531"/>
    <n v="19016.400000000001"/>
    <n v="930.79999999999927"/>
    <n v="4.8947224500957023E-2"/>
    <n v="0.12884615384615383"/>
    <s v="Partially Delivered"/>
    <s v="Status-Date Conflict"/>
  </r>
  <r>
    <s v="PO-00533"/>
    <x v="1"/>
    <x v="367"/>
    <d v="2023-10-12T00:00:00"/>
    <x v="1"/>
    <x v="1"/>
    <n v="1216"/>
    <n v="66.16"/>
    <n v="63"/>
    <n v="179"/>
    <x v="1"/>
    <n v="11"/>
    <x v="532"/>
    <n v="80450.559999999998"/>
    <n v="3842.5599999999977"/>
    <n v="4.7762998790810127E-2"/>
    <n v="0.14720394736842105"/>
    <s v="Late"/>
    <s v="OK"/>
  </r>
  <r>
    <s v="PO-00534"/>
    <x v="0"/>
    <x v="249"/>
    <m/>
    <x v="3"/>
    <x v="1"/>
    <n v="1165"/>
    <n v="72.06"/>
    <n v="63.93"/>
    <m/>
    <x v="0"/>
    <s v=""/>
    <x v="533"/>
    <n v="83949.900000000009"/>
    <n v="9471.4500000000116"/>
    <n v="0.11282264779350554"/>
    <n v="0"/>
    <s v="Missing Delivery Date"/>
    <s v="Missing Delivery Date"/>
  </r>
  <r>
    <s v="PO-00535"/>
    <x v="1"/>
    <x v="295"/>
    <d v="2023-11-29T00:00:00"/>
    <x v="2"/>
    <x v="3"/>
    <n v="1427"/>
    <n v="93.99"/>
    <n v="83.6"/>
    <n v="213"/>
    <x v="0"/>
    <n v="18"/>
    <x v="534"/>
    <n v="134123.72999999998"/>
    <n v="14826.529999999984"/>
    <n v="0.11054367485902745"/>
    <n v="0.14926419060967064"/>
    <s v="Pending"/>
    <s v="Status-Date Conflict"/>
  </r>
  <r>
    <s v="PO-00536"/>
    <x v="4"/>
    <x v="47"/>
    <d v="2022-05-10T00:00:00"/>
    <x v="5"/>
    <x v="1"/>
    <n v="883"/>
    <n v="29.15"/>
    <n v="25.75"/>
    <n v="14"/>
    <x v="0"/>
    <n v="2"/>
    <x v="535"/>
    <n v="25739.449999999997"/>
    <n v="3002.1999999999971"/>
    <n v="0.11663807890222974"/>
    <n v="1.5855039637599093E-2"/>
    <s v="On Time"/>
    <s v="OK"/>
  </r>
  <r>
    <s v="PO-00537"/>
    <x v="1"/>
    <x v="275"/>
    <d v="2022-11-11T00:00:00"/>
    <x v="2"/>
    <x v="2"/>
    <n v="1873"/>
    <n v="11.54"/>
    <n v="9.89"/>
    <n v="284"/>
    <x v="1"/>
    <n v="7"/>
    <x v="536"/>
    <n v="21614.42"/>
    <n v="3090.4499999999971"/>
    <n v="0.14298093587521651"/>
    <n v="0.15162840363053925"/>
    <s v="Partially Delivered"/>
    <s v="Status-Date Conflict"/>
  </r>
  <r>
    <s v="PO-00538"/>
    <x v="4"/>
    <x v="140"/>
    <d v="2023-06-06T00:00:00"/>
    <x v="0"/>
    <x v="1"/>
    <n v="776"/>
    <n v="24.22"/>
    <n v="22.53"/>
    <n v="27"/>
    <x v="0"/>
    <n v="2"/>
    <x v="537"/>
    <n v="18794.719999999998"/>
    <n v="1311.4399999999951"/>
    <n v="6.9777043765482813E-2"/>
    <n v="3.4793814432989692E-2"/>
    <s v="On Time"/>
    <s v="OK"/>
  </r>
  <r>
    <s v="PO-00539"/>
    <x v="1"/>
    <x v="368"/>
    <d v="2022-11-24T00:00:00"/>
    <x v="5"/>
    <x v="1"/>
    <n v="903"/>
    <n v="95.55"/>
    <n v="92.45"/>
    <n v="149"/>
    <x v="1"/>
    <n v="11"/>
    <x v="538"/>
    <n v="86281.65"/>
    <n v="2799.2999999999884"/>
    <n v="3.2443746729460883E-2"/>
    <n v="0.16500553709856036"/>
    <s v="Late"/>
    <s v="OK"/>
  </r>
  <r>
    <s v="PO-00540"/>
    <x v="4"/>
    <x v="328"/>
    <d v="2023-11-26T00:00:00"/>
    <x v="5"/>
    <x v="1"/>
    <n v="100"/>
    <n v="98.4"/>
    <n v="85.76"/>
    <n v="3"/>
    <x v="0"/>
    <n v="12"/>
    <x v="539"/>
    <n v="9840"/>
    <n v="1264"/>
    <n v="0.12845528455284552"/>
    <n v="0.03"/>
    <s v="Late"/>
    <s v="OK"/>
  </r>
  <r>
    <s v="PO-00541"/>
    <x v="4"/>
    <x v="369"/>
    <d v="2023-03-08T00:00:00"/>
    <x v="0"/>
    <x v="1"/>
    <n v="1738"/>
    <n v="67.91"/>
    <n v="61.15"/>
    <m/>
    <x v="0"/>
    <n v="13"/>
    <x v="540"/>
    <n v="118027.57999999999"/>
    <n v="11748.87999999999"/>
    <n v="9.9543513473715137E-2"/>
    <n v="0"/>
    <s v="Late"/>
    <s v="OK"/>
  </r>
  <r>
    <s v="PO-00542"/>
    <x v="1"/>
    <x v="370"/>
    <d v="2022-12-14T00:00:00"/>
    <x v="2"/>
    <x v="1"/>
    <n v="1771"/>
    <n v="67.569999999999993"/>
    <n v="61.48"/>
    <n v="280"/>
    <x v="1"/>
    <n v="13"/>
    <x v="541"/>
    <n v="119666.46999999999"/>
    <n v="10785.39"/>
    <n v="9.012875536480687E-2"/>
    <n v="0.15810276679841898"/>
    <s v="Late"/>
    <s v="OK"/>
  </r>
  <r>
    <s v="PO-00543"/>
    <x v="4"/>
    <x v="218"/>
    <d v="2023-02-23T00:00:00"/>
    <x v="5"/>
    <x v="1"/>
    <n v="624"/>
    <n v="74.39"/>
    <n v="66.3"/>
    <n v="18"/>
    <x v="1"/>
    <n v="6"/>
    <x v="542"/>
    <n v="46419.360000000001"/>
    <n v="5048.1600000000035"/>
    <n v="0.10875117623336478"/>
    <n v="2.8846153846153848E-2"/>
    <s v="On Time"/>
    <s v="OK"/>
  </r>
  <r>
    <s v="PO-00544"/>
    <x v="0"/>
    <x v="241"/>
    <d v="2023-12-31T00:00:00"/>
    <x v="2"/>
    <x v="2"/>
    <n v="1263"/>
    <n v="28.75"/>
    <n v="27.1"/>
    <n v="26"/>
    <x v="0"/>
    <n v="16"/>
    <x v="543"/>
    <n v="36311.25"/>
    <n v="2083.9499999999971"/>
    <n v="5.7391304347826008E-2"/>
    <n v="2.0585906571654791E-2"/>
    <s v="Partially Delivered"/>
    <s v="Status-Date Conflict"/>
  </r>
  <r>
    <s v="PO-00545"/>
    <x v="2"/>
    <x v="371"/>
    <d v="2022-11-16T00:00:00"/>
    <x v="5"/>
    <x v="0"/>
    <n v="1198"/>
    <n v="96.45"/>
    <n v="90.09"/>
    <m/>
    <x v="0"/>
    <n v="17"/>
    <x v="544"/>
    <n v="115547.1"/>
    <n v="7619.2799999999988"/>
    <n v="6.5940902021772926E-2"/>
    <n v="0"/>
    <s v="Cancelled"/>
    <s v="Status-Date Conflict"/>
  </r>
  <r>
    <s v="PO-00546"/>
    <x v="4"/>
    <x v="185"/>
    <d v="2023-07-25T00:00:00"/>
    <x v="3"/>
    <x v="1"/>
    <n v="199"/>
    <n v="51.98"/>
    <n v="45.64"/>
    <m/>
    <x v="1"/>
    <n v="3"/>
    <x v="545"/>
    <n v="10344.019999999999"/>
    <n v="1261.659999999998"/>
    <n v="0.12196998845709871"/>
    <n v="0"/>
    <s v="On Time"/>
    <s v="OK"/>
  </r>
  <r>
    <s v="PO-00547"/>
    <x v="4"/>
    <x v="324"/>
    <d v="2022-05-14T00:00:00"/>
    <x v="1"/>
    <x v="3"/>
    <n v="363"/>
    <n v="45.37"/>
    <n v="38.729999999999997"/>
    <m/>
    <x v="0"/>
    <n v="3"/>
    <x v="546"/>
    <n v="16469.309999999998"/>
    <n v="2410.3199999999997"/>
    <n v="0.14635221512012342"/>
    <n v="0"/>
    <s v="Pending"/>
    <s v="Status-Date Conflict"/>
  </r>
  <r>
    <s v="PO-00548"/>
    <x v="0"/>
    <x v="56"/>
    <d v="2022-07-22T00:00:00"/>
    <x v="0"/>
    <x v="1"/>
    <n v="619"/>
    <n v="58.4"/>
    <n v="51.04"/>
    <m/>
    <x v="0"/>
    <n v="6"/>
    <x v="547"/>
    <n v="36149.599999999999"/>
    <n v="4555.84"/>
    <n v="0.12602739726027398"/>
    <n v="0"/>
    <s v="On Time"/>
    <s v="OK"/>
  </r>
  <r>
    <s v="PO-00549"/>
    <x v="0"/>
    <x v="372"/>
    <d v="2023-03-18T00:00:00"/>
    <x v="1"/>
    <x v="1"/>
    <n v="1415"/>
    <n v="15.22"/>
    <n v="13.56"/>
    <n v="30"/>
    <x v="0"/>
    <n v="11"/>
    <x v="548"/>
    <n v="21536.3"/>
    <n v="2348.8999999999978"/>
    <n v="0.10906701708278571"/>
    <n v="2.1201413427561839E-2"/>
    <s v="Late"/>
    <s v="OK"/>
  </r>
  <r>
    <s v="PO-00550"/>
    <x v="3"/>
    <x v="366"/>
    <d v="2023-11-23T00:00:00"/>
    <x v="2"/>
    <x v="1"/>
    <n v="354"/>
    <n v="27.71"/>
    <n v="23.87"/>
    <n v="39"/>
    <x v="1"/>
    <n v="11"/>
    <x v="549"/>
    <n v="9809.34"/>
    <n v="1359.3600000000006"/>
    <n v="0.13857813063875862"/>
    <n v="0.11016949152542373"/>
    <s v="Late"/>
    <s v="OK"/>
  </r>
  <r>
    <s v="PO-00551"/>
    <x v="2"/>
    <x v="82"/>
    <d v="2023-02-03T00:00:00"/>
    <x v="1"/>
    <x v="1"/>
    <n v="1765"/>
    <n v="81.010000000000005"/>
    <n v="78.430000000000007"/>
    <n v="78"/>
    <x v="0"/>
    <n v="10"/>
    <x v="550"/>
    <n v="142982.65000000002"/>
    <n v="4553.7000000000116"/>
    <n v="3.1847920009875401E-2"/>
    <n v="4.4192634560906517E-2"/>
    <s v="On Time"/>
    <s v="OK"/>
  </r>
  <r>
    <s v="PO-00552"/>
    <x v="3"/>
    <x v="373"/>
    <d v="2023-12-09T00:00:00"/>
    <x v="1"/>
    <x v="1"/>
    <n v="731"/>
    <n v="19.37"/>
    <n v="17.3"/>
    <n v="69"/>
    <x v="1"/>
    <n v="14"/>
    <x v="551"/>
    <n v="14159.470000000001"/>
    <n v="1513.17"/>
    <n v="0.10686628807434176"/>
    <n v="9.4391244870041038E-2"/>
    <s v="Late"/>
    <s v="OK"/>
  </r>
  <r>
    <s v="PO-00553"/>
    <x v="4"/>
    <x v="374"/>
    <d v="2022-07-13T00:00:00"/>
    <x v="1"/>
    <x v="1"/>
    <n v="887"/>
    <n v="65.89"/>
    <n v="59.67"/>
    <n v="29"/>
    <x v="0"/>
    <n v="15"/>
    <x v="552"/>
    <n v="58444.43"/>
    <n v="5517.1399999999994"/>
    <n v="9.4399757171042639E-2"/>
    <n v="3.269447576099211E-2"/>
    <s v="Late"/>
    <s v="OK"/>
  </r>
  <r>
    <s v="PO-00554"/>
    <x v="0"/>
    <x v="375"/>
    <d v="2023-09-25T00:00:00"/>
    <x v="1"/>
    <x v="1"/>
    <n v="1856"/>
    <n v="35.29"/>
    <n v="32.409999999999997"/>
    <n v="26"/>
    <x v="0"/>
    <n v="2"/>
    <x v="553"/>
    <n v="65498.239999999998"/>
    <n v="5345.2800000000061"/>
    <n v="8.1609521110796349E-2"/>
    <n v="1.4008620689655173E-2"/>
    <s v="On Time"/>
    <s v="OK"/>
  </r>
  <r>
    <s v="PO-00555"/>
    <x v="4"/>
    <x v="376"/>
    <d v="2023-08-18T00:00:00"/>
    <x v="0"/>
    <x v="1"/>
    <n v="1127"/>
    <n v="49.32"/>
    <n v="46.49"/>
    <n v="30"/>
    <x v="0"/>
    <n v="12"/>
    <x v="554"/>
    <n v="55583.64"/>
    <n v="3189.4099999999962"/>
    <n v="5.7380373073803663E-2"/>
    <n v="2.6619343389529725E-2"/>
    <s v="Late"/>
    <s v="OK"/>
  </r>
  <r>
    <s v="PO-00556"/>
    <x v="1"/>
    <x v="377"/>
    <d v="2022-11-19T00:00:00"/>
    <x v="3"/>
    <x v="1"/>
    <n v="1052"/>
    <n v="37.78"/>
    <n v="32.6"/>
    <n v="162"/>
    <x v="0"/>
    <n v="14"/>
    <x v="555"/>
    <n v="39744.559999999998"/>
    <n v="5449.3599999999933"/>
    <n v="0.13710958178930635"/>
    <n v="0.15399239543726237"/>
    <s v="Late"/>
    <s v="OK"/>
  </r>
  <r>
    <s v="PO-00557"/>
    <x v="2"/>
    <x v="378"/>
    <d v="2023-02-22T00:00:00"/>
    <x v="3"/>
    <x v="1"/>
    <n v="493"/>
    <n v="44.74"/>
    <n v="41.44"/>
    <n v="24"/>
    <x v="1"/>
    <n v="2"/>
    <x v="556"/>
    <n v="22056.82"/>
    <n v="1626.9000000000015"/>
    <n v="7.3759499329459161E-2"/>
    <n v="4.8681541582150101E-2"/>
    <s v="On Time"/>
    <s v="OK"/>
  </r>
  <r>
    <s v="PO-00558"/>
    <x v="1"/>
    <x v="379"/>
    <d v="2023-07-29T00:00:00"/>
    <x v="1"/>
    <x v="2"/>
    <n v="662"/>
    <n v="81.44"/>
    <n v="71.33"/>
    <n v="87"/>
    <x v="0"/>
    <n v="13"/>
    <x v="557"/>
    <n v="53913.279999999999"/>
    <n v="6692.82"/>
    <n v="0.12414047151277013"/>
    <n v="0.13141993957703926"/>
    <s v="Partially Delivered"/>
    <s v="Status-Date Conflict"/>
  </r>
  <r>
    <s v="PO-00559"/>
    <x v="0"/>
    <x v="148"/>
    <d v="2022-01-07T00:00:00"/>
    <x v="3"/>
    <x v="1"/>
    <n v="1042"/>
    <n v="36.74"/>
    <n v="35.78"/>
    <n v="33"/>
    <x v="0"/>
    <n v="6"/>
    <x v="558"/>
    <n v="38283.08"/>
    <n v="1000.3199999999997"/>
    <n v="2.6129559063690792E-2"/>
    <n v="3.166986564299424E-2"/>
    <s v="On Time"/>
    <s v="OK"/>
  </r>
  <r>
    <s v="PO-00560"/>
    <x v="0"/>
    <x v="380"/>
    <m/>
    <x v="3"/>
    <x v="1"/>
    <n v="313"/>
    <n v="64.03"/>
    <n v="57.74"/>
    <n v="1"/>
    <x v="0"/>
    <s v=""/>
    <x v="559"/>
    <n v="20041.39"/>
    <n v="1968.7700000000004"/>
    <n v="9.823520224894583E-2"/>
    <n v="3.1948881789137379E-3"/>
    <s v="Missing Delivery Date"/>
    <s v="Missing Delivery Date"/>
  </r>
  <r>
    <s v="PO-00561"/>
    <x v="0"/>
    <x v="381"/>
    <d v="2022-11-10T00:00:00"/>
    <x v="0"/>
    <x v="1"/>
    <n v="1126"/>
    <n v="55.22"/>
    <n v="50.38"/>
    <m/>
    <x v="0"/>
    <n v="20"/>
    <x v="560"/>
    <n v="62177.72"/>
    <n v="5449.8399999999965"/>
    <n v="8.7649402390438183E-2"/>
    <n v="0"/>
    <s v="Late"/>
    <s v="OK"/>
  </r>
  <r>
    <s v="PO-00562"/>
    <x v="2"/>
    <x v="303"/>
    <d v="2022-08-19T00:00:00"/>
    <x v="1"/>
    <x v="1"/>
    <n v="1645"/>
    <n v="72.17"/>
    <n v="64"/>
    <n v="79"/>
    <x v="0"/>
    <n v="15"/>
    <x v="561"/>
    <n v="118719.65000000001"/>
    <n v="13439.650000000009"/>
    <n v="0.11320493279756137"/>
    <n v="4.8024316109422489E-2"/>
    <s v="Late"/>
    <s v="OK"/>
  </r>
  <r>
    <s v="PO-00563"/>
    <x v="3"/>
    <x v="323"/>
    <d v="2023-03-20T00:00:00"/>
    <x v="2"/>
    <x v="1"/>
    <n v="1053"/>
    <n v="100.92"/>
    <n v="92.35"/>
    <n v="104"/>
    <x v="0"/>
    <n v="3"/>
    <x v="562"/>
    <n v="106268.76"/>
    <n v="9024.2100000000064"/>
    <n v="8.4918747522790397E-2"/>
    <n v="9.8765432098765427E-2"/>
    <s v="On Time"/>
    <s v="OK"/>
  </r>
  <r>
    <s v="PO-00564"/>
    <x v="4"/>
    <x v="247"/>
    <d v="2023-08-29T00:00:00"/>
    <x v="1"/>
    <x v="1"/>
    <n v="1693"/>
    <n v="83.14"/>
    <n v="73.3"/>
    <n v="62"/>
    <x v="0"/>
    <n v="12"/>
    <x v="563"/>
    <n v="140756.01999999999"/>
    <n v="16659.119999999995"/>
    <n v="0.11835458263170553"/>
    <n v="3.662138216184288E-2"/>
    <s v="Late"/>
    <s v="OK"/>
  </r>
  <r>
    <s v="PO-00565"/>
    <x v="4"/>
    <x v="169"/>
    <d v="2023-10-03T00:00:00"/>
    <x v="3"/>
    <x v="3"/>
    <n v="54"/>
    <n v="32.28"/>
    <n v="28.65"/>
    <n v="3"/>
    <x v="0"/>
    <n v="19"/>
    <x v="564"/>
    <n v="1743.1200000000001"/>
    <n v="196.02000000000021"/>
    <n v="0.11245353159851312"/>
    <n v="5.5555555555555552E-2"/>
    <s v="Pending"/>
    <s v="Status-Date Conflict"/>
  </r>
  <r>
    <s v="PO-00566"/>
    <x v="4"/>
    <x v="382"/>
    <d v="2023-11-07T00:00:00"/>
    <x v="2"/>
    <x v="1"/>
    <n v="1176"/>
    <n v="14.22"/>
    <n v="12.21"/>
    <n v="33"/>
    <x v="0"/>
    <n v="5"/>
    <x v="565"/>
    <n v="16722.72"/>
    <n v="2363.7600000000002"/>
    <n v="0.14135021097046413"/>
    <n v="2.8061224489795918E-2"/>
    <s v="On Time"/>
    <s v="OK"/>
  </r>
  <r>
    <s v="PO-00567"/>
    <x v="4"/>
    <x v="383"/>
    <d v="2022-12-08T00:00:00"/>
    <x v="3"/>
    <x v="1"/>
    <n v="1269"/>
    <n v="35.28"/>
    <n v="33.700000000000003"/>
    <n v="35"/>
    <x v="0"/>
    <n v="12"/>
    <x v="566"/>
    <n v="44770.32"/>
    <n v="2005.0199999999968"/>
    <n v="4.478458049886614E-2"/>
    <n v="2.7580772261623327E-2"/>
    <s v="Late"/>
    <s v="OK"/>
  </r>
  <r>
    <s v="PO-00568"/>
    <x v="4"/>
    <x v="384"/>
    <d v="2023-04-25T00:00:00"/>
    <x v="3"/>
    <x v="1"/>
    <n v="823"/>
    <n v="68.319999999999993"/>
    <n v="64.459999999999994"/>
    <n v="19"/>
    <x v="0"/>
    <n v="3"/>
    <x v="567"/>
    <n v="56227.359999999993"/>
    <n v="3176.7799999999988"/>
    <n v="5.6498829039812633E-2"/>
    <n v="2.3086269744835967E-2"/>
    <s v="On Time"/>
    <s v="OK"/>
  </r>
  <r>
    <s v="PO-00569"/>
    <x v="3"/>
    <x v="314"/>
    <d v="2023-04-15T00:00:00"/>
    <x v="5"/>
    <x v="1"/>
    <n v="926"/>
    <n v="15.65"/>
    <n v="13.49"/>
    <n v="94"/>
    <x v="1"/>
    <n v="17"/>
    <x v="568"/>
    <n v="14491.9"/>
    <n v="2000.1599999999999"/>
    <n v="0.13801916932907349"/>
    <n v="0.10151187904967603"/>
    <s v="Late"/>
    <s v="OK"/>
  </r>
  <r>
    <s v="PO-00570"/>
    <x v="1"/>
    <x v="314"/>
    <d v="2023-04-09T00:00:00"/>
    <x v="5"/>
    <x v="0"/>
    <n v="1041"/>
    <n v="58.5"/>
    <n v="52.54"/>
    <n v="170"/>
    <x v="1"/>
    <n v="11"/>
    <x v="569"/>
    <n v="60898.5"/>
    <n v="6204.3600000000006"/>
    <n v="0.1018803418803419"/>
    <n v="0.1633045148895293"/>
    <s v="Cancelled"/>
    <s v="Status-Date Conflict"/>
  </r>
  <r>
    <s v="PO-00571"/>
    <x v="2"/>
    <x v="257"/>
    <d v="2023-12-01T00:00:00"/>
    <x v="5"/>
    <x v="3"/>
    <n v="933"/>
    <n v="70.72"/>
    <n v="65.47"/>
    <n v="42"/>
    <x v="0"/>
    <n v="8"/>
    <x v="570"/>
    <n v="65981.759999999995"/>
    <n v="4898.2499999999927"/>
    <n v="7.4236425339366405E-2"/>
    <n v="4.5016077170418008E-2"/>
    <s v="Pending"/>
    <s v="Status-Date Conflict"/>
  </r>
  <r>
    <s v="PO-00572"/>
    <x v="1"/>
    <x v="235"/>
    <m/>
    <x v="3"/>
    <x v="1"/>
    <n v="1423"/>
    <n v="41.48"/>
    <n v="40.9"/>
    <n v="199"/>
    <x v="0"/>
    <s v=""/>
    <x v="571"/>
    <n v="59026.039999999994"/>
    <n v="825.33999999999651"/>
    <n v="1.39826422372227E-2"/>
    <n v="0.13984539704848911"/>
    <s v="Missing Delivery Date"/>
    <s v="Missing Delivery Date"/>
  </r>
  <r>
    <s v="PO-00573"/>
    <x v="1"/>
    <x v="359"/>
    <d v="2023-06-14T00:00:00"/>
    <x v="1"/>
    <x v="1"/>
    <n v="96"/>
    <n v="86.13"/>
    <n v="80.319999999999993"/>
    <n v="12"/>
    <x v="1"/>
    <n v="6"/>
    <x v="572"/>
    <n v="8268.48"/>
    <n v="557.76000000000022"/>
    <n v="6.7456170904446791E-2"/>
    <n v="0.125"/>
    <s v="On Time"/>
    <s v="OK"/>
  </r>
  <r>
    <s v="PO-00574"/>
    <x v="4"/>
    <x v="202"/>
    <d v="2023-05-13T00:00:00"/>
    <x v="1"/>
    <x v="1"/>
    <n v="916"/>
    <n v="21.06"/>
    <n v="19.53"/>
    <n v="25"/>
    <x v="0"/>
    <n v="13"/>
    <x v="573"/>
    <n v="19290.96"/>
    <n v="1401.4799999999996"/>
    <n v="7.2649572649572627E-2"/>
    <n v="2.7292576419213975E-2"/>
    <s v="Late"/>
    <s v="OK"/>
  </r>
  <r>
    <s v="PO-00575"/>
    <x v="4"/>
    <x v="385"/>
    <m/>
    <x v="3"/>
    <x v="1"/>
    <n v="872"/>
    <n v="17.18"/>
    <n v="16.63"/>
    <n v="20"/>
    <x v="0"/>
    <s v=""/>
    <x v="574"/>
    <n v="14980.96"/>
    <n v="479.60000000000036"/>
    <n v="3.2013969732246822E-2"/>
    <n v="2.2935779816513763E-2"/>
    <s v="Missing Delivery Date"/>
    <s v="Missing Delivery Date"/>
  </r>
  <r>
    <s v="PO-00576"/>
    <x v="3"/>
    <x v="207"/>
    <d v="2023-11-15T00:00:00"/>
    <x v="5"/>
    <x v="1"/>
    <n v="985"/>
    <n v="83.85"/>
    <n v="80.88"/>
    <m/>
    <x v="1"/>
    <n v="9"/>
    <x v="575"/>
    <n v="82592.25"/>
    <n v="2925.4500000000116"/>
    <n v="3.5420393559928584E-2"/>
    <n v="0"/>
    <s v="On Time"/>
    <s v="OK"/>
  </r>
  <r>
    <s v="PO-00577"/>
    <x v="2"/>
    <x v="386"/>
    <d v="2022-04-04T00:00:00"/>
    <x v="3"/>
    <x v="1"/>
    <n v="1893"/>
    <n v="55.14"/>
    <n v="50.1"/>
    <n v="98"/>
    <x v="0"/>
    <n v="7"/>
    <x v="576"/>
    <n v="104380.02"/>
    <n v="9540.7200000000012"/>
    <n v="9.1403699673558228E-2"/>
    <n v="5.1769677760169046E-2"/>
    <s v="On Time"/>
    <s v="OK"/>
  </r>
  <r>
    <s v="PO-00578"/>
    <x v="0"/>
    <x v="387"/>
    <m/>
    <x v="1"/>
    <x v="1"/>
    <n v="705"/>
    <n v="75.19"/>
    <n v="69.55"/>
    <n v="19"/>
    <x v="0"/>
    <s v=""/>
    <x v="577"/>
    <n v="53008.95"/>
    <n v="3976.1999999999971"/>
    <n v="7.5009974730682216E-2"/>
    <n v="2.6950354609929079E-2"/>
    <s v="Missing Delivery Date"/>
    <s v="Missing Delivery Date"/>
  </r>
  <r>
    <s v="PO-00579"/>
    <x v="1"/>
    <x v="388"/>
    <d v="2023-06-28T00:00:00"/>
    <x v="1"/>
    <x v="1"/>
    <n v="318"/>
    <n v="53.31"/>
    <n v="51.78"/>
    <m/>
    <x v="1"/>
    <n v="16"/>
    <x v="578"/>
    <n v="16952.580000000002"/>
    <n v="486.54000000000087"/>
    <n v="2.8700056274620196E-2"/>
    <n v="0"/>
    <s v="Late"/>
    <s v="OK"/>
  </r>
  <r>
    <s v="PO-00580"/>
    <x v="0"/>
    <x v="295"/>
    <d v="2023-11-16T00:00:00"/>
    <x v="0"/>
    <x v="3"/>
    <n v="419"/>
    <n v="35.72"/>
    <n v="32.74"/>
    <n v="7"/>
    <x v="0"/>
    <n v="5"/>
    <x v="579"/>
    <n v="14966.68"/>
    <n v="1248.619999999999"/>
    <n v="8.342665173572221E-2"/>
    <n v="1.6706443914081145E-2"/>
    <s v="Pending"/>
    <s v="Status-Date Conflict"/>
  </r>
  <r>
    <s v="PO-00581"/>
    <x v="2"/>
    <x v="389"/>
    <d v="2023-10-26T00:00:00"/>
    <x v="1"/>
    <x v="1"/>
    <n v="685"/>
    <n v="92.51"/>
    <n v="90.05"/>
    <n v="38"/>
    <x v="0"/>
    <n v="15"/>
    <x v="580"/>
    <n v="63369.350000000006"/>
    <n v="1685.1000000000058"/>
    <n v="2.6591719814074245E-2"/>
    <n v="5.5474452554744529E-2"/>
    <s v="Late"/>
    <s v="OK"/>
  </r>
  <r>
    <s v="PO-00582"/>
    <x v="1"/>
    <x v="265"/>
    <d v="2023-10-12T00:00:00"/>
    <x v="0"/>
    <x v="2"/>
    <n v="1179"/>
    <n v="90.14"/>
    <n v="82.63"/>
    <n v="194"/>
    <x v="0"/>
    <n v="15"/>
    <x v="581"/>
    <n v="106275.06"/>
    <n v="8854.2900000000081"/>
    <n v="8.3314843576658609E-2"/>
    <n v="0.1645462256149279"/>
    <s v="Partially Delivered"/>
    <s v="Status-Date Conflict"/>
  </r>
  <r>
    <s v="PO-00583"/>
    <x v="0"/>
    <x v="390"/>
    <m/>
    <x v="3"/>
    <x v="1"/>
    <n v="1743"/>
    <n v="76.510000000000005"/>
    <n v="65.88"/>
    <n v="40"/>
    <x v="0"/>
    <s v=""/>
    <x v="582"/>
    <n v="133356.93000000002"/>
    <n v="18528.090000000026"/>
    <n v="0.13893608678604122"/>
    <n v="2.2948938611589215E-2"/>
    <s v="Missing Delivery Date"/>
    <s v="Missing Delivery Date"/>
  </r>
  <r>
    <s v="PO-00584"/>
    <x v="0"/>
    <x v="15"/>
    <d v="2022-04-17T00:00:00"/>
    <x v="1"/>
    <x v="1"/>
    <n v="1732"/>
    <n v="35.01"/>
    <n v="34.18"/>
    <n v="40"/>
    <x v="0"/>
    <n v="11"/>
    <x v="583"/>
    <n v="60637.32"/>
    <n v="1437.5599999999977"/>
    <n v="2.3707512139388709E-2"/>
    <n v="2.3094688221709007E-2"/>
    <s v="Late"/>
    <s v="OK"/>
  </r>
  <r>
    <s v="PO-00585"/>
    <x v="3"/>
    <x v="258"/>
    <d v="2022-09-01T00:00:00"/>
    <x v="0"/>
    <x v="1"/>
    <n v="706"/>
    <n v="65.33"/>
    <n v="62.06"/>
    <n v="60"/>
    <x v="1"/>
    <n v="3"/>
    <x v="584"/>
    <n v="46122.979999999996"/>
    <n v="2308.6199999999953"/>
    <n v="5.0053574161946938E-2"/>
    <n v="8.4985835694050993E-2"/>
    <s v="On Time"/>
    <s v="OK"/>
  </r>
  <r>
    <s v="PO-00586"/>
    <x v="2"/>
    <x v="391"/>
    <d v="2023-11-30T00:00:00"/>
    <x v="1"/>
    <x v="0"/>
    <n v="169"/>
    <n v="47.16"/>
    <n v="43.4"/>
    <m/>
    <x v="0"/>
    <n v="10"/>
    <x v="585"/>
    <n v="7970.0399999999991"/>
    <n v="635.4399999999996"/>
    <n v="7.9728583545377402E-2"/>
    <n v="0"/>
    <s v="Cancelled"/>
    <s v="Status-Date Conflict"/>
  </r>
  <r>
    <s v="PO-00587"/>
    <x v="2"/>
    <x v="392"/>
    <d v="2022-11-20T00:00:00"/>
    <x v="0"/>
    <x v="3"/>
    <n v="880"/>
    <n v="19.149999999999999"/>
    <n v="18.690000000000001"/>
    <m/>
    <x v="1"/>
    <n v="6"/>
    <x v="586"/>
    <n v="16852"/>
    <n v="404.79999999999927"/>
    <n v="2.4020887728459488E-2"/>
    <n v="0"/>
    <s v="Pending"/>
    <s v="Status-Date Conflict"/>
  </r>
  <r>
    <s v="PO-00588"/>
    <x v="2"/>
    <x v="181"/>
    <d v="2022-08-25T00:00:00"/>
    <x v="1"/>
    <x v="1"/>
    <n v="1860"/>
    <n v="95.8"/>
    <n v="92.17"/>
    <n v="105"/>
    <x v="1"/>
    <n v="6"/>
    <x v="587"/>
    <n v="178188"/>
    <n v="6751.7999999999884"/>
    <n v="3.7891440501043774E-2"/>
    <n v="5.6451612903225805E-2"/>
    <s v="On Time"/>
    <s v="OK"/>
  </r>
  <r>
    <s v="PO-00589"/>
    <x v="1"/>
    <x v="22"/>
    <d v="2022-08-09T00:00:00"/>
    <x v="1"/>
    <x v="1"/>
    <n v="1677"/>
    <n v="22.98"/>
    <n v="21.71"/>
    <n v="246"/>
    <x v="0"/>
    <n v="17"/>
    <x v="588"/>
    <n v="38537.46"/>
    <n v="2129.7900000000009"/>
    <n v="5.5265448215839882E-2"/>
    <n v="0.14669051878354203"/>
    <s v="Late"/>
    <s v="OK"/>
  </r>
  <r>
    <s v="PO-00590"/>
    <x v="3"/>
    <x v="393"/>
    <d v="2022-06-07T00:00:00"/>
    <x v="2"/>
    <x v="2"/>
    <n v="1131"/>
    <n v="97.43"/>
    <n v="91.28"/>
    <n v="103"/>
    <x v="0"/>
    <n v="7"/>
    <x v="589"/>
    <n v="110193.33"/>
    <n v="6955.6499999999942"/>
    <n v="6.3122241609360516E-2"/>
    <n v="9.1069849690539342E-2"/>
    <s v="Partially Delivered"/>
    <s v="Status-Date Conflict"/>
  </r>
  <r>
    <s v="PO-00591"/>
    <x v="4"/>
    <x v="2"/>
    <d v="2022-02-03T00:00:00"/>
    <x v="3"/>
    <x v="0"/>
    <n v="1419"/>
    <n v="50.14"/>
    <n v="43.46"/>
    <m/>
    <x v="0"/>
    <n v="8"/>
    <x v="590"/>
    <n v="71148.66"/>
    <n v="9478.9200000000055"/>
    <n v="0.13322696449940175"/>
    <n v="0"/>
    <s v="Cancelled"/>
    <s v="Status-Date Conflict"/>
  </r>
  <r>
    <s v="PO-00592"/>
    <x v="1"/>
    <x v="394"/>
    <d v="2022-02-18T00:00:00"/>
    <x v="3"/>
    <x v="3"/>
    <n v="790"/>
    <n v="26.8"/>
    <n v="25.62"/>
    <n v="115"/>
    <x v="0"/>
    <n v="1"/>
    <x v="591"/>
    <n v="21172"/>
    <n v="932.20000000000073"/>
    <n v="4.4029850746268688E-2"/>
    <n v="0.14556962025316456"/>
    <s v="Pending"/>
    <s v="Status-Date Conflict"/>
  </r>
  <r>
    <s v="PO-00593"/>
    <x v="2"/>
    <x v="4"/>
    <d v="2022-09-27T00:00:00"/>
    <x v="1"/>
    <x v="3"/>
    <n v="1547"/>
    <n v="61.12"/>
    <n v="53.43"/>
    <n v="77"/>
    <x v="0"/>
    <n v="19"/>
    <x v="592"/>
    <n v="94552.639999999999"/>
    <n v="11896.429999999993"/>
    <n v="0.12581806282722505"/>
    <n v="4.9773755656108594E-2"/>
    <s v="Pending"/>
    <s v="Status-Date Conflict"/>
  </r>
  <r>
    <s v="PO-00594"/>
    <x v="1"/>
    <x v="165"/>
    <d v="2023-05-20T00:00:00"/>
    <x v="0"/>
    <x v="0"/>
    <n v="166"/>
    <n v="95.65"/>
    <n v="94.48"/>
    <n v="23"/>
    <x v="0"/>
    <n v="18"/>
    <x v="593"/>
    <n v="15877.900000000001"/>
    <n v="194.22000000000116"/>
    <n v="1.2232096184004254E-2"/>
    <n v="0.13855421686746988"/>
    <s v="Cancelled"/>
    <s v="Status-Date Conflict"/>
  </r>
  <r>
    <s v="PO-00595"/>
    <x v="0"/>
    <x v="395"/>
    <d v="2023-09-21T00:00:00"/>
    <x v="5"/>
    <x v="1"/>
    <n v="1903"/>
    <n v="83.49"/>
    <n v="82.33"/>
    <n v="43"/>
    <x v="0"/>
    <n v="3"/>
    <x v="594"/>
    <n v="158881.47"/>
    <n v="2207.4800000000105"/>
    <n v="1.3893879506527793E-2"/>
    <n v="2.2595901208617972E-2"/>
    <s v="On Time"/>
    <s v="OK"/>
  </r>
  <r>
    <s v="PO-00596"/>
    <x v="1"/>
    <x v="277"/>
    <d v="2022-03-29T00:00:00"/>
    <x v="0"/>
    <x v="2"/>
    <n v="840"/>
    <n v="83.42"/>
    <n v="80.349999999999994"/>
    <n v="153"/>
    <x v="0"/>
    <n v="13"/>
    <x v="595"/>
    <n v="70072.800000000003"/>
    <n v="2578.8000000000029"/>
    <n v="3.6801726204747101E-2"/>
    <n v="0.18214285714285713"/>
    <s v="Partially Delivered"/>
    <s v="Status-Date Conflict"/>
  </r>
  <r>
    <s v="PO-00597"/>
    <x v="1"/>
    <x v="396"/>
    <m/>
    <x v="1"/>
    <x v="1"/>
    <n v="1200"/>
    <n v="74.489999999999995"/>
    <n v="64.63"/>
    <n v="161"/>
    <x v="0"/>
    <s v=""/>
    <x v="596"/>
    <n v="89388"/>
    <n v="11832"/>
    <n v="0.13236676063901195"/>
    <n v="0.13416666666666666"/>
    <s v="Missing Delivery Date"/>
    <s v="Missing Delivery Date"/>
  </r>
  <r>
    <s v="PO-00598"/>
    <x v="2"/>
    <x v="397"/>
    <d v="2023-03-18T00:00:00"/>
    <x v="3"/>
    <x v="1"/>
    <n v="1466"/>
    <n v="77.37"/>
    <n v="70.349999999999994"/>
    <n v="72"/>
    <x v="0"/>
    <n v="17"/>
    <x v="597"/>
    <n v="113424.42000000001"/>
    <n v="10291.320000000022"/>
    <n v="9.0732842186894327E-2"/>
    <n v="4.9113233287858118E-2"/>
    <s v="Late"/>
    <s v="OK"/>
  </r>
  <r>
    <s v="PO-00599"/>
    <x v="0"/>
    <x v="398"/>
    <d v="2023-10-21T00:00:00"/>
    <x v="0"/>
    <x v="1"/>
    <n v="1981"/>
    <n v="95.5"/>
    <n v="94.39"/>
    <n v="49"/>
    <x v="0"/>
    <n v="14"/>
    <x v="598"/>
    <n v="189185.5"/>
    <n v="2198.9100000000035"/>
    <n v="1.1623036649214678E-2"/>
    <n v="2.4734982332155476E-2"/>
    <s v="Late"/>
    <s v="OK"/>
  </r>
  <r>
    <s v="PO-00600"/>
    <x v="2"/>
    <x v="399"/>
    <d v="2023-08-16T00:00:00"/>
    <x v="2"/>
    <x v="1"/>
    <n v="1062"/>
    <n v="35.549999999999997"/>
    <n v="32.380000000000003"/>
    <m/>
    <x v="0"/>
    <n v="3"/>
    <x v="599"/>
    <n v="37754.1"/>
    <n v="3366.5399999999936"/>
    <n v="8.9170182841068757E-2"/>
    <n v="0"/>
    <s v="On Time"/>
    <s v="OK"/>
  </r>
  <r>
    <s v="PO-00601"/>
    <x v="0"/>
    <x v="400"/>
    <d v="2022-07-30T00:00:00"/>
    <x v="1"/>
    <x v="1"/>
    <n v="1714"/>
    <n v="55.67"/>
    <n v="55.09"/>
    <n v="42"/>
    <x v="0"/>
    <n v="11"/>
    <x v="600"/>
    <n v="95418.38"/>
    <n v="994.11999999999534"/>
    <n v="1.041853781210701E-2"/>
    <n v="2.4504084014002333E-2"/>
    <s v="Late"/>
    <s v="OK"/>
  </r>
  <r>
    <s v="PO-00602"/>
    <x v="0"/>
    <x v="241"/>
    <d v="2023-12-30T00:00:00"/>
    <x v="0"/>
    <x v="1"/>
    <n v="1131"/>
    <n v="33.35"/>
    <n v="31.28"/>
    <n v="23"/>
    <x v="0"/>
    <n v="15"/>
    <x v="601"/>
    <n v="37718.85"/>
    <n v="2341.1699999999983"/>
    <n v="6.2068965517241337E-2"/>
    <n v="2.0335985853227233E-2"/>
    <s v="Late"/>
    <s v="OK"/>
  </r>
  <r>
    <s v="PO-00603"/>
    <x v="0"/>
    <x v="401"/>
    <d v="2023-02-15T00:00:00"/>
    <x v="0"/>
    <x v="1"/>
    <n v="683"/>
    <n v="104.82"/>
    <n v="101.34"/>
    <m/>
    <x v="0"/>
    <n v="17"/>
    <x v="602"/>
    <n v="71592.06"/>
    <n v="2376.8399999999965"/>
    <n v="3.3199771036061775E-2"/>
    <n v="0"/>
    <s v="Late"/>
    <s v="OK"/>
  </r>
  <r>
    <s v="PO-00604"/>
    <x v="2"/>
    <x v="402"/>
    <d v="2023-06-09T00:00:00"/>
    <x v="2"/>
    <x v="2"/>
    <n v="562"/>
    <n v="102.56"/>
    <n v="90.88"/>
    <n v="38"/>
    <x v="0"/>
    <n v="18"/>
    <x v="603"/>
    <n v="57638.720000000001"/>
    <n v="6564.1600000000035"/>
    <n v="0.11388455538221534"/>
    <n v="6.7615658362989328E-2"/>
    <s v="Partially Delivered"/>
    <s v="Status-Date Conflict"/>
  </r>
  <r>
    <s v="PO-00605"/>
    <x v="0"/>
    <x v="350"/>
    <d v="2023-02-20T00:00:00"/>
    <x v="5"/>
    <x v="1"/>
    <n v="1824"/>
    <n v="14.43"/>
    <n v="14.11"/>
    <n v="36"/>
    <x v="0"/>
    <n v="6"/>
    <x v="604"/>
    <n v="26320.32"/>
    <n v="583.68000000000029"/>
    <n v="2.2176022176022187E-2"/>
    <n v="1.9736842105263157E-2"/>
    <s v="On Time"/>
    <s v="OK"/>
  </r>
  <r>
    <s v="PO-00606"/>
    <x v="3"/>
    <x v="403"/>
    <d v="2022-09-12T00:00:00"/>
    <x v="5"/>
    <x v="2"/>
    <n v="851"/>
    <n v="76.44"/>
    <n v="74.760000000000005"/>
    <n v="91"/>
    <x v="0"/>
    <n v="5"/>
    <x v="605"/>
    <n v="65050.439999999995"/>
    <n v="1429.679999999993"/>
    <n v="2.1978021978021872E-2"/>
    <n v="0.10693301997649823"/>
    <s v="Partially Delivered"/>
    <s v="Status-Date Conflict"/>
  </r>
  <r>
    <s v="PO-00607"/>
    <x v="3"/>
    <x v="322"/>
    <d v="2022-06-03T00:00:00"/>
    <x v="0"/>
    <x v="1"/>
    <n v="1169"/>
    <n v="95.6"/>
    <n v="82.16"/>
    <n v="103"/>
    <x v="0"/>
    <n v="2"/>
    <x v="606"/>
    <n v="111756.4"/>
    <n v="15711.36"/>
    <n v="0.14058577405857742"/>
    <n v="8.8109495295124032E-2"/>
    <s v="On Time"/>
    <s v="OK"/>
  </r>
  <r>
    <s v="PO-00608"/>
    <x v="4"/>
    <x v="100"/>
    <d v="2023-11-20T00:00:00"/>
    <x v="1"/>
    <x v="1"/>
    <n v="1711"/>
    <n v="29.14"/>
    <n v="26.35"/>
    <n v="48"/>
    <x v="0"/>
    <n v="17"/>
    <x v="607"/>
    <n v="49858.54"/>
    <n v="4773.6899999999951"/>
    <n v="9.5744680851063732E-2"/>
    <n v="2.8053769725306838E-2"/>
    <s v="Late"/>
    <s v="OK"/>
  </r>
  <r>
    <s v="PO-00609"/>
    <x v="3"/>
    <x v="85"/>
    <d v="2023-12-12T00:00:00"/>
    <x v="2"/>
    <x v="3"/>
    <n v="1191"/>
    <n v="68.14"/>
    <n v="61.71"/>
    <n v="112"/>
    <x v="0"/>
    <n v="6"/>
    <x v="608"/>
    <n v="81154.740000000005"/>
    <n v="7658.1300000000047"/>
    <n v="9.4364543586733254E-2"/>
    <n v="9.4038623005877411E-2"/>
    <s v="Pending"/>
    <s v="Status-Date Conflict"/>
  </r>
  <r>
    <s v="PO-00610"/>
    <x v="4"/>
    <x v="404"/>
    <d v="2022-01-14T00:00:00"/>
    <x v="5"/>
    <x v="1"/>
    <n v="609"/>
    <n v="92.39"/>
    <n v="82.75"/>
    <n v="29"/>
    <x v="0"/>
    <n v="8"/>
    <x v="609"/>
    <n v="56265.51"/>
    <n v="5870.760000000002"/>
    <n v="0.10434029656889277"/>
    <n v="4.7619047619047616E-2"/>
    <s v="On Time"/>
    <s v="OK"/>
  </r>
  <r>
    <s v="PO-00611"/>
    <x v="3"/>
    <x v="299"/>
    <d v="2022-05-07T00:00:00"/>
    <x v="0"/>
    <x v="1"/>
    <n v="1674"/>
    <n v="13.25"/>
    <n v="11.77"/>
    <n v="181"/>
    <x v="0"/>
    <n v="17"/>
    <x v="610"/>
    <n v="22180.5"/>
    <n v="2477.5200000000004"/>
    <n v="0.11169811320754719"/>
    <n v="0.10812425328554361"/>
    <s v="Late"/>
    <s v="OK"/>
  </r>
  <r>
    <s v="PO-00612"/>
    <x v="2"/>
    <x v="405"/>
    <d v="2023-03-15T00:00:00"/>
    <x v="1"/>
    <x v="1"/>
    <n v="537"/>
    <n v="77.86"/>
    <n v="71.180000000000007"/>
    <n v="20"/>
    <x v="0"/>
    <n v="3"/>
    <x v="611"/>
    <n v="41810.82"/>
    <n v="3587.1599999999962"/>
    <n v="8.579501669663489E-2"/>
    <n v="3.7243947858473E-2"/>
    <s v="On Time"/>
    <s v="OK"/>
  </r>
  <r>
    <s v="PO-00613"/>
    <x v="4"/>
    <x v="87"/>
    <d v="2022-08-31T00:00:00"/>
    <x v="5"/>
    <x v="1"/>
    <n v="1310"/>
    <n v="38.049999999999997"/>
    <n v="37"/>
    <n v="45"/>
    <x v="0"/>
    <n v="18"/>
    <x v="612"/>
    <n v="49845.499999999993"/>
    <n v="1375.4999999999927"/>
    <n v="2.7595269382391447E-2"/>
    <n v="3.4351145038167941E-2"/>
    <s v="Late"/>
    <s v="OK"/>
  </r>
  <r>
    <s v="PO-00614"/>
    <x v="1"/>
    <x v="406"/>
    <d v="2022-07-10T00:00:00"/>
    <x v="3"/>
    <x v="1"/>
    <n v="1958"/>
    <n v="95.53"/>
    <n v="91.72"/>
    <n v="308"/>
    <x v="0"/>
    <n v="10"/>
    <x v="613"/>
    <n v="187047.74"/>
    <n v="7459.9799999999814"/>
    <n v="3.9882759342614788E-2"/>
    <n v="0.15730337078651685"/>
    <s v="On Time"/>
    <s v="OK"/>
  </r>
  <r>
    <s v="PO-00615"/>
    <x v="1"/>
    <x v="407"/>
    <d v="2023-12-17T00:00:00"/>
    <x v="0"/>
    <x v="1"/>
    <n v="946"/>
    <n v="108.6"/>
    <n v="101.78"/>
    <n v="146"/>
    <x v="0"/>
    <n v="3"/>
    <x v="614"/>
    <n v="102735.59999999999"/>
    <n v="6451.7199999999866"/>
    <n v="6.2799263351749415E-2"/>
    <n v="0.15433403805496829"/>
    <s v="On Time"/>
    <s v="OK"/>
  </r>
  <r>
    <s v="PO-00616"/>
    <x v="3"/>
    <x v="408"/>
    <d v="2023-06-21T00:00:00"/>
    <x v="2"/>
    <x v="2"/>
    <n v="1345"/>
    <n v="103.06"/>
    <n v="95.14"/>
    <m/>
    <x v="0"/>
    <n v="6"/>
    <x v="615"/>
    <n v="138615.70000000001"/>
    <n v="10652.400000000009"/>
    <n v="7.6848437803221481E-2"/>
    <n v="0"/>
    <s v="Partially Delivered"/>
    <s v="Status-Date Conflict"/>
  </r>
  <r>
    <s v="PO-00617"/>
    <x v="1"/>
    <x v="409"/>
    <d v="2023-05-10T00:00:00"/>
    <x v="1"/>
    <x v="1"/>
    <n v="1262"/>
    <n v="56.63"/>
    <n v="51.46"/>
    <m/>
    <x v="1"/>
    <n v="19"/>
    <x v="616"/>
    <n v="71467.06"/>
    <n v="6524.5399999999936"/>
    <n v="9.1294366943316177E-2"/>
    <n v="0"/>
    <s v="Late"/>
    <s v="OK"/>
  </r>
  <r>
    <s v="PO-00618"/>
    <x v="3"/>
    <x v="228"/>
    <d v="2022-03-13T00:00:00"/>
    <x v="0"/>
    <x v="3"/>
    <n v="753"/>
    <n v="88.02"/>
    <n v="79.92"/>
    <n v="75"/>
    <x v="0"/>
    <n v="20"/>
    <x v="617"/>
    <n v="66279.06"/>
    <n v="6099.2999999999956"/>
    <n v="9.2024539877300554E-2"/>
    <n v="9.9601593625498003E-2"/>
    <s v="Pending"/>
    <s v="Status-Date Conflict"/>
  </r>
  <r>
    <s v="PO-00619"/>
    <x v="3"/>
    <x v="86"/>
    <d v="2023-08-14T00:00:00"/>
    <x v="5"/>
    <x v="1"/>
    <n v="1520"/>
    <n v="93.75"/>
    <n v="81.63"/>
    <n v="149"/>
    <x v="0"/>
    <n v="20"/>
    <x v="618"/>
    <n v="142500"/>
    <n v="18422.400000000009"/>
    <n v="0.12928000000000006"/>
    <n v="9.8026315789473684E-2"/>
    <s v="Late"/>
    <s v="OK"/>
  </r>
  <r>
    <s v="PO-00620"/>
    <x v="1"/>
    <x v="224"/>
    <d v="2022-10-02T00:00:00"/>
    <x v="0"/>
    <x v="1"/>
    <n v="630"/>
    <n v="40.270000000000003"/>
    <n v="37.54"/>
    <n v="76"/>
    <x v="0"/>
    <n v="19"/>
    <x v="619"/>
    <n v="25370.100000000002"/>
    <n v="1719.9000000000015"/>
    <n v="6.7792401291283888E-2"/>
    <n v="0.12063492063492064"/>
    <s v="Late"/>
    <s v="OK"/>
  </r>
  <r>
    <s v="PO-00621"/>
    <x v="1"/>
    <x v="410"/>
    <d v="2022-05-06T00:00:00"/>
    <x v="0"/>
    <x v="1"/>
    <n v="839"/>
    <n v="86.29"/>
    <n v="82.51"/>
    <n v="110"/>
    <x v="0"/>
    <n v="1"/>
    <x v="620"/>
    <n v="72397.310000000012"/>
    <n v="3171.4200000000128"/>
    <n v="4.3805771236528158E-2"/>
    <n v="0.13110846245530394"/>
    <s v="On Time"/>
    <s v="OK"/>
  </r>
  <r>
    <s v="PO-00622"/>
    <x v="0"/>
    <x v="411"/>
    <d v="2023-05-02T00:00:00"/>
    <x v="5"/>
    <x v="1"/>
    <n v="910"/>
    <n v="14.33"/>
    <n v="14.07"/>
    <n v="27"/>
    <x v="0"/>
    <n v="19"/>
    <x v="621"/>
    <n v="13040.3"/>
    <n v="236.59999999999854"/>
    <n v="1.8143754361479303E-2"/>
    <n v="2.9670329670329669E-2"/>
    <s v="Late"/>
    <s v="OK"/>
  </r>
  <r>
    <s v="PO-00623"/>
    <x v="4"/>
    <x v="412"/>
    <d v="2022-05-24T00:00:00"/>
    <x v="3"/>
    <x v="1"/>
    <n v="296"/>
    <n v="64.94"/>
    <n v="63.61"/>
    <m/>
    <x v="0"/>
    <n v="7"/>
    <x v="622"/>
    <n v="19222.239999999998"/>
    <n v="393.67999999999665"/>
    <n v="2.048044348629487E-2"/>
    <n v="0"/>
    <s v="On Time"/>
    <s v="OK"/>
  </r>
  <r>
    <s v="PO-00624"/>
    <x v="3"/>
    <x v="409"/>
    <d v="2023-05-05T00:00:00"/>
    <x v="1"/>
    <x v="1"/>
    <n v="1149"/>
    <n v="33"/>
    <n v="30.65"/>
    <n v="141"/>
    <x v="0"/>
    <n v="14"/>
    <x v="623"/>
    <n v="37917"/>
    <n v="2700.1500000000015"/>
    <n v="7.1212121212121254E-2"/>
    <n v="0.12271540469973891"/>
    <s v="Late"/>
    <s v="OK"/>
  </r>
  <r>
    <s v="PO-00625"/>
    <x v="1"/>
    <x v="293"/>
    <d v="2023-11-16T00:00:00"/>
    <x v="5"/>
    <x v="1"/>
    <n v="203"/>
    <n v="23.14"/>
    <n v="20"/>
    <m/>
    <x v="1"/>
    <n v="1"/>
    <x v="624"/>
    <n v="4697.42"/>
    <n v="637.42000000000007"/>
    <n v="0.13569576490924806"/>
    <n v="0"/>
    <s v="On Time"/>
    <s v="OK"/>
  </r>
  <r>
    <s v="PO-00626"/>
    <x v="4"/>
    <x v="147"/>
    <d v="2023-07-16T00:00:00"/>
    <x v="0"/>
    <x v="1"/>
    <n v="1729"/>
    <n v="18.36"/>
    <n v="16.34"/>
    <n v="47"/>
    <x v="0"/>
    <n v="18"/>
    <x v="625"/>
    <n v="31744.44"/>
    <n v="3492.5799999999981"/>
    <n v="0.11002178649237468"/>
    <n v="2.7183342972816656E-2"/>
    <s v="Late"/>
    <s v="OK"/>
  </r>
  <r>
    <s v="PO-00627"/>
    <x v="1"/>
    <x v="413"/>
    <d v="2023-08-06T00:00:00"/>
    <x v="0"/>
    <x v="1"/>
    <n v="1508"/>
    <n v="79.209999999999994"/>
    <n v="73.27"/>
    <n v="226"/>
    <x v="0"/>
    <n v="10"/>
    <x v="626"/>
    <n v="119448.68"/>
    <n v="8957.5200000000041"/>
    <n v="7.4990531498548202E-2"/>
    <n v="0.14986737400530503"/>
    <s v="On Time"/>
    <s v="OK"/>
  </r>
  <r>
    <s v="PO-00628"/>
    <x v="1"/>
    <x v="256"/>
    <d v="2023-09-15T00:00:00"/>
    <x v="2"/>
    <x v="2"/>
    <n v="1046"/>
    <n v="44.65"/>
    <n v="40.1"/>
    <n v="165"/>
    <x v="1"/>
    <n v="13"/>
    <x v="627"/>
    <n v="46703.9"/>
    <n v="4759.3000000000029"/>
    <n v="0.10190369540873466"/>
    <n v="0.15774378585086041"/>
    <s v="Partially Delivered"/>
    <s v="Status-Date Conflict"/>
  </r>
  <r>
    <s v="PO-00629"/>
    <x v="0"/>
    <x v="414"/>
    <d v="2022-11-24T00:00:00"/>
    <x v="0"/>
    <x v="1"/>
    <n v="1159"/>
    <n v="78.989999999999995"/>
    <n v="71.69"/>
    <n v="14"/>
    <x v="0"/>
    <n v="3"/>
    <x v="628"/>
    <n v="91549.409999999989"/>
    <n v="8460.6999999999971"/>
    <n v="9.2416761615394333E-2"/>
    <n v="1.2079378774805867E-2"/>
    <s v="On Time"/>
    <s v="OK"/>
  </r>
  <r>
    <s v="PO-00630"/>
    <x v="3"/>
    <x v="226"/>
    <d v="2023-04-05T00:00:00"/>
    <x v="5"/>
    <x v="1"/>
    <n v="746"/>
    <n v="16.989999999999998"/>
    <n v="15.35"/>
    <n v="69"/>
    <x v="1"/>
    <n v="6"/>
    <x v="629"/>
    <n v="12674.539999999999"/>
    <n v="1223.4399999999987"/>
    <n v="9.6527369040612029E-2"/>
    <n v="9.2493297587131373E-2"/>
    <s v="On Time"/>
    <s v="OK"/>
  </r>
  <r>
    <s v="PO-00631"/>
    <x v="3"/>
    <x v="415"/>
    <d v="2023-10-06T00:00:00"/>
    <x v="2"/>
    <x v="1"/>
    <n v="1358"/>
    <n v="42.21"/>
    <n v="38.75"/>
    <n v="128"/>
    <x v="0"/>
    <n v="16"/>
    <x v="630"/>
    <n v="57321.18"/>
    <n v="4698.68"/>
    <n v="8.197109689647003E-2"/>
    <n v="9.4256259204712811E-2"/>
    <s v="Late"/>
    <s v="OK"/>
  </r>
  <r>
    <s v="PO-00632"/>
    <x v="2"/>
    <x v="416"/>
    <d v="2023-06-12T00:00:00"/>
    <x v="0"/>
    <x v="1"/>
    <n v="1293"/>
    <n v="63.53"/>
    <n v="59.42"/>
    <n v="79"/>
    <x v="0"/>
    <n v="11"/>
    <x v="631"/>
    <n v="82144.290000000008"/>
    <n v="5314.2300000000105"/>
    <n v="6.4693845427357274E-2"/>
    <n v="6.1098221191028618E-2"/>
    <s v="Late"/>
    <s v="OK"/>
  </r>
  <r>
    <s v="PO-00633"/>
    <x v="0"/>
    <x v="417"/>
    <d v="2023-03-24T00:00:00"/>
    <x v="5"/>
    <x v="1"/>
    <n v="1142"/>
    <n v="86.85"/>
    <n v="74.28"/>
    <n v="30"/>
    <x v="0"/>
    <n v="11"/>
    <x v="632"/>
    <n v="99182.7"/>
    <n v="14354.940000000002"/>
    <n v="0.14473229706390331"/>
    <n v="2.6269702276707531E-2"/>
    <s v="Late"/>
    <s v="OK"/>
  </r>
  <r>
    <s v="PO-00634"/>
    <x v="4"/>
    <x v="379"/>
    <d v="2023-07-27T00:00:00"/>
    <x v="1"/>
    <x v="1"/>
    <n v="1120"/>
    <n v="42.17"/>
    <n v="37.47"/>
    <n v="33"/>
    <x v="0"/>
    <n v="11"/>
    <x v="633"/>
    <n v="47230.400000000001"/>
    <n v="5264"/>
    <n v="0.11145364002845624"/>
    <n v="2.9464285714285714E-2"/>
    <s v="Late"/>
    <s v="OK"/>
  </r>
  <r>
    <s v="PO-00635"/>
    <x v="0"/>
    <x v="418"/>
    <d v="2023-04-14T00:00:00"/>
    <x v="1"/>
    <x v="1"/>
    <n v="1058"/>
    <n v="71.3"/>
    <n v="62.04"/>
    <m/>
    <x v="0"/>
    <n v="12"/>
    <x v="634"/>
    <n v="75435.399999999994"/>
    <n v="9797.0800000000017"/>
    <n v="0.12987377279102388"/>
    <n v="0"/>
    <s v="Late"/>
    <s v="OK"/>
  </r>
  <r>
    <s v="PO-00636"/>
    <x v="4"/>
    <x v="419"/>
    <m/>
    <x v="0"/>
    <x v="1"/>
    <n v="143"/>
    <n v="91.98"/>
    <n v="86.02"/>
    <n v="5"/>
    <x v="0"/>
    <s v=""/>
    <x v="635"/>
    <n v="13153.140000000001"/>
    <n v="852.28000000000247"/>
    <n v="6.4796694933681412E-2"/>
    <n v="3.4965034965034968E-2"/>
    <s v="Missing Delivery Date"/>
    <s v="Missing Delivery Date"/>
  </r>
  <r>
    <s v="PO-00637"/>
    <x v="3"/>
    <x v="165"/>
    <d v="2023-05-14T00:00:00"/>
    <x v="1"/>
    <x v="1"/>
    <n v="1823"/>
    <n v="70.66"/>
    <n v="66.92"/>
    <n v="202"/>
    <x v="0"/>
    <n v="12"/>
    <x v="636"/>
    <n v="128813.18"/>
    <n v="6818.0199999999895"/>
    <n v="5.2929521652986054E-2"/>
    <n v="0.11080636313768513"/>
    <s v="Late"/>
    <s v="OK"/>
  </r>
  <r>
    <s v="PO-00638"/>
    <x v="2"/>
    <x v="420"/>
    <d v="2023-04-10T00:00:00"/>
    <x v="0"/>
    <x v="1"/>
    <n v="1007"/>
    <n v="33.29"/>
    <n v="28.48"/>
    <n v="49"/>
    <x v="0"/>
    <n v="4"/>
    <x v="637"/>
    <n v="33523.03"/>
    <n v="4843.6699999999983"/>
    <n v="0.14448783418443972"/>
    <n v="4.8659384309831182E-2"/>
    <s v="On Time"/>
    <s v="OK"/>
  </r>
  <r>
    <s v="PO-00639"/>
    <x v="2"/>
    <x v="421"/>
    <d v="2022-10-08T00:00:00"/>
    <x v="2"/>
    <x v="1"/>
    <n v="1061"/>
    <n v="12.68"/>
    <n v="12.36"/>
    <n v="56"/>
    <x v="1"/>
    <n v="15"/>
    <x v="638"/>
    <n v="13453.48"/>
    <n v="339.52000000000044"/>
    <n v="2.5236593059936942E-2"/>
    <n v="5.2780395852968898E-2"/>
    <s v="Late"/>
    <s v="OK"/>
  </r>
  <r>
    <s v="PO-00640"/>
    <x v="3"/>
    <x v="180"/>
    <d v="2022-09-26T00:00:00"/>
    <x v="1"/>
    <x v="3"/>
    <n v="502"/>
    <n v="91.84"/>
    <n v="82.33"/>
    <m/>
    <x v="0"/>
    <n v="15"/>
    <x v="639"/>
    <n v="46103.68"/>
    <n v="4774.0200000000041"/>
    <n v="0.10354965156794434"/>
    <n v="0"/>
    <s v="Pending"/>
    <s v="Status-Date Conflict"/>
  </r>
  <r>
    <s v="PO-00641"/>
    <x v="1"/>
    <x v="312"/>
    <d v="2023-10-19T00:00:00"/>
    <x v="2"/>
    <x v="1"/>
    <n v="1277"/>
    <n v="13.17"/>
    <n v="11.63"/>
    <n v="199"/>
    <x v="1"/>
    <n v="4"/>
    <x v="640"/>
    <n v="16818.09"/>
    <n v="1966.58"/>
    <n v="0.11693242217160212"/>
    <n v="0.1558339859044636"/>
    <s v="On Time"/>
    <s v="OK"/>
  </r>
  <r>
    <s v="PO-00642"/>
    <x v="0"/>
    <x v="308"/>
    <d v="2022-10-24T00:00:00"/>
    <x v="2"/>
    <x v="1"/>
    <n v="961"/>
    <n v="92.72"/>
    <n v="88.49"/>
    <n v="22"/>
    <x v="0"/>
    <n v="13"/>
    <x v="641"/>
    <n v="89103.92"/>
    <n v="4065.0299999999988"/>
    <n v="4.5621225194132864E-2"/>
    <n v="2.2892819979188347E-2"/>
    <s v="Late"/>
    <s v="OK"/>
  </r>
  <r>
    <s v="PO-00643"/>
    <x v="2"/>
    <x v="422"/>
    <d v="2023-07-02T00:00:00"/>
    <x v="2"/>
    <x v="1"/>
    <n v="267"/>
    <n v="62.5"/>
    <n v="61.18"/>
    <n v="17"/>
    <x v="0"/>
    <n v="14"/>
    <x v="642"/>
    <n v="16687.5"/>
    <n v="352.44000000000051"/>
    <n v="2.1120000000000031E-2"/>
    <n v="6.3670411985018729E-2"/>
    <s v="Late"/>
    <s v="OK"/>
  </r>
  <r>
    <s v="PO-00644"/>
    <x v="1"/>
    <x v="423"/>
    <d v="2023-05-18T00:00:00"/>
    <x v="3"/>
    <x v="0"/>
    <n v="523"/>
    <n v="102.08"/>
    <n v="99.59"/>
    <m/>
    <x v="0"/>
    <n v="6"/>
    <x v="643"/>
    <n v="53387.839999999997"/>
    <n v="1302.2699999999968"/>
    <n v="2.4392633228840065E-2"/>
    <n v="0"/>
    <s v="Cancelled"/>
    <s v="Status-Date Conflict"/>
  </r>
  <r>
    <s v="PO-00645"/>
    <x v="4"/>
    <x v="424"/>
    <d v="2023-10-23T00:00:00"/>
    <x v="5"/>
    <x v="3"/>
    <n v="481"/>
    <n v="90.49"/>
    <n v="77.17"/>
    <m/>
    <x v="0"/>
    <n v="19"/>
    <x v="644"/>
    <n v="43525.689999999995"/>
    <n v="6406.919999999991"/>
    <n v="0.14719858547905826"/>
    <n v="0"/>
    <s v="Pending"/>
    <s v="Status-Date Conflict"/>
  </r>
  <r>
    <s v="PO-00646"/>
    <x v="2"/>
    <x v="272"/>
    <d v="2022-09-09T00:00:00"/>
    <x v="0"/>
    <x v="1"/>
    <n v="390"/>
    <n v="103.81"/>
    <n v="100.12"/>
    <n v="20"/>
    <x v="0"/>
    <n v="7"/>
    <x v="645"/>
    <n v="40485.9"/>
    <n v="1439.0999999999985"/>
    <n v="3.5545708505924249E-2"/>
    <n v="5.128205128205128E-2"/>
    <s v="On Time"/>
    <s v="OK"/>
  </r>
  <r>
    <s v="PO-00647"/>
    <x v="4"/>
    <x v="3"/>
    <d v="2022-10-25T00:00:00"/>
    <x v="2"/>
    <x v="1"/>
    <n v="600"/>
    <n v="43.43"/>
    <n v="38.76"/>
    <n v="22"/>
    <x v="0"/>
    <n v="16"/>
    <x v="646"/>
    <n v="26058"/>
    <n v="2802"/>
    <n v="0.10752935758692149"/>
    <n v="3.6666666666666667E-2"/>
    <s v="Late"/>
    <s v="OK"/>
  </r>
  <r>
    <s v="PO-00648"/>
    <x v="1"/>
    <x v="425"/>
    <m/>
    <x v="0"/>
    <x v="1"/>
    <n v="1685"/>
    <n v="84.58"/>
    <n v="75.209999999999994"/>
    <n v="253"/>
    <x v="1"/>
    <s v=""/>
    <x v="647"/>
    <n v="142517.29999999999"/>
    <n v="15788.449999999997"/>
    <n v="0.11078269094348545"/>
    <n v="0.15014836795252226"/>
    <s v="Missing Delivery Date"/>
    <s v="Missing Delivery Date"/>
  </r>
  <r>
    <s v="PO-00649"/>
    <x v="4"/>
    <x v="426"/>
    <d v="2022-03-31T00:00:00"/>
    <x v="2"/>
    <x v="0"/>
    <n v="1362"/>
    <n v="46.64"/>
    <n v="42.85"/>
    <n v="33"/>
    <x v="0"/>
    <n v="10"/>
    <x v="648"/>
    <n v="63523.68"/>
    <n v="5161.9799999999959"/>
    <n v="8.1260720411663739E-2"/>
    <n v="2.4229074889867842E-2"/>
    <s v="Cancelled"/>
    <s v="Status-Date Conflict"/>
  </r>
  <r>
    <s v="PO-00650"/>
    <x v="1"/>
    <x v="173"/>
    <d v="2024-01-04T00:00:00"/>
    <x v="5"/>
    <x v="3"/>
    <n v="1327"/>
    <n v="59.57"/>
    <n v="56.44"/>
    <n v="169"/>
    <x v="0"/>
    <n v="3"/>
    <x v="649"/>
    <n v="79049.39"/>
    <n v="4153.5100000000093"/>
    <n v="5.2543226456270055E-2"/>
    <n v="0.12735493594574226"/>
    <s v="Pending"/>
    <s v="Status-Date Conflict"/>
  </r>
  <r>
    <s v="PO-00651"/>
    <x v="4"/>
    <x v="240"/>
    <m/>
    <x v="1"/>
    <x v="1"/>
    <n v="1807"/>
    <n v="69.47"/>
    <n v="60"/>
    <n v="50"/>
    <x v="0"/>
    <s v=""/>
    <x v="650"/>
    <n v="125532.29"/>
    <n v="17112.289999999994"/>
    <n v="0.13631783503670644"/>
    <n v="2.7670171555063641E-2"/>
    <s v="Missing Delivery Date"/>
    <s v="Missing Delivery Date"/>
  </r>
  <r>
    <s v="PO-00652"/>
    <x v="0"/>
    <x v="258"/>
    <d v="2022-09-06T00:00:00"/>
    <x v="0"/>
    <x v="3"/>
    <n v="406"/>
    <n v="91.73"/>
    <n v="89.13"/>
    <m/>
    <x v="0"/>
    <n v="8"/>
    <x v="651"/>
    <n v="37242.380000000005"/>
    <n v="1055.6000000000058"/>
    <n v="2.8344053199607696E-2"/>
    <n v="0"/>
    <s v="Pending"/>
    <s v="Status-Date Conflict"/>
  </r>
  <r>
    <s v="PO-00653"/>
    <x v="2"/>
    <x v="300"/>
    <d v="2022-10-18T00:00:00"/>
    <x v="3"/>
    <x v="2"/>
    <n v="72"/>
    <n v="103"/>
    <n v="89.49"/>
    <n v="1"/>
    <x v="1"/>
    <n v="12"/>
    <x v="652"/>
    <n v="7416"/>
    <n v="972.72000000000025"/>
    <n v="0.13116504854368935"/>
    <n v="1.3888888888888888E-2"/>
    <s v="Partially Delivered"/>
    <s v="Status-Date Conflict"/>
  </r>
  <r>
    <s v="PO-00654"/>
    <x v="2"/>
    <x v="390"/>
    <d v="2022-12-20T00:00:00"/>
    <x v="0"/>
    <x v="1"/>
    <n v="1835"/>
    <n v="83.5"/>
    <n v="82.36"/>
    <n v="85"/>
    <x v="1"/>
    <n v="10"/>
    <x v="653"/>
    <n v="153222.5"/>
    <n v="2091.8999999999942"/>
    <n v="1.3652694610778405E-2"/>
    <n v="4.632152588555858E-2"/>
    <s v="On Time"/>
    <s v="OK"/>
  </r>
  <r>
    <s v="PO-00655"/>
    <x v="1"/>
    <x v="427"/>
    <d v="2022-12-10T00:00:00"/>
    <x v="5"/>
    <x v="3"/>
    <n v="571"/>
    <n v="49.98"/>
    <n v="45.58"/>
    <m/>
    <x v="1"/>
    <n v="16"/>
    <x v="654"/>
    <n v="28538.579999999998"/>
    <n v="2512.3999999999978"/>
    <n v="8.8035214085634181E-2"/>
    <n v="0"/>
    <s v="Pending"/>
    <s v="Status-Date Conflict"/>
  </r>
  <r>
    <s v="PO-00656"/>
    <x v="4"/>
    <x v="230"/>
    <d v="2023-07-09T00:00:00"/>
    <x v="2"/>
    <x v="1"/>
    <n v="1831"/>
    <n v="52.24"/>
    <n v="50.44"/>
    <n v="60"/>
    <x v="0"/>
    <n v="1"/>
    <x v="655"/>
    <n v="95651.44"/>
    <n v="3295.8000000000029"/>
    <n v="3.4456355283307837E-2"/>
    <n v="3.2768978700163848E-2"/>
    <s v="On Time"/>
    <s v="OK"/>
  </r>
  <r>
    <s v="PO-00657"/>
    <x v="3"/>
    <x v="254"/>
    <d v="2022-04-07T00:00:00"/>
    <x v="0"/>
    <x v="3"/>
    <n v="1910"/>
    <n v="77.150000000000006"/>
    <n v="68.489999999999995"/>
    <n v="170"/>
    <x v="0"/>
    <n v="14"/>
    <x v="656"/>
    <n v="147356.5"/>
    <n v="16540.600000000006"/>
    <n v="0.11224886584575507"/>
    <n v="8.9005235602094238E-2"/>
    <s v="Pending"/>
    <s v="Status-Date Conflict"/>
  </r>
  <r>
    <s v="PO-00658"/>
    <x v="2"/>
    <x v="114"/>
    <d v="2022-05-31T00:00:00"/>
    <x v="5"/>
    <x v="2"/>
    <n v="1173"/>
    <n v="32.119999999999997"/>
    <n v="29.18"/>
    <m/>
    <x v="0"/>
    <n v="9"/>
    <x v="657"/>
    <n v="37676.759999999995"/>
    <n v="3448.6199999999953"/>
    <n v="9.1531755915317453E-2"/>
    <n v="0"/>
    <s v="Partially Delivered"/>
    <s v="Status-Date Conflict"/>
  </r>
  <r>
    <s v="PO-00659"/>
    <x v="4"/>
    <x v="428"/>
    <d v="2022-06-17T00:00:00"/>
    <x v="2"/>
    <x v="2"/>
    <n v="851"/>
    <n v="20.440000000000001"/>
    <n v="19.22"/>
    <n v="22"/>
    <x v="0"/>
    <n v="13"/>
    <x v="658"/>
    <n v="17394.440000000002"/>
    <n v="1038.220000000003"/>
    <n v="5.9686888454011905E-2"/>
    <n v="2.5851938895417155E-2"/>
    <s v="Partially Delivered"/>
    <s v="Status-Date Conflict"/>
  </r>
  <r>
    <s v="PO-00660"/>
    <x v="4"/>
    <x v="429"/>
    <d v="2022-09-07T00:00:00"/>
    <x v="1"/>
    <x v="0"/>
    <n v="1253"/>
    <n v="43.38"/>
    <n v="38.01"/>
    <n v="34"/>
    <x v="0"/>
    <n v="13"/>
    <x v="659"/>
    <n v="54355.140000000007"/>
    <n v="6728.6100000000079"/>
    <n v="0.12378976486860317"/>
    <n v="2.7134876296887472E-2"/>
    <s v="Cancelled"/>
    <s v="Status-Date Conflict"/>
  </r>
  <r>
    <s v="PO-00661"/>
    <x v="0"/>
    <x v="430"/>
    <d v="2023-02-15T00:00:00"/>
    <x v="5"/>
    <x v="1"/>
    <n v="1296"/>
    <n v="38"/>
    <n v="33.42"/>
    <n v="33"/>
    <x v="0"/>
    <n v="18"/>
    <x v="660"/>
    <n v="49248"/>
    <n v="5935.68"/>
    <n v="0.12052631578947369"/>
    <n v="2.5462962962962962E-2"/>
    <s v="Late"/>
    <s v="OK"/>
  </r>
  <r>
    <s v="PO-00662"/>
    <x v="3"/>
    <x v="431"/>
    <d v="2023-12-30T00:00:00"/>
    <x v="3"/>
    <x v="1"/>
    <n v="1979"/>
    <n v="40.880000000000003"/>
    <n v="39.46"/>
    <n v="221"/>
    <x v="0"/>
    <n v="18"/>
    <x v="661"/>
    <n v="80901.52"/>
    <n v="2810.1800000000076"/>
    <n v="3.4735812133072502E-2"/>
    <n v="0.11167256189994947"/>
    <s v="Late"/>
    <s v="OK"/>
  </r>
  <r>
    <s v="PO-00663"/>
    <x v="2"/>
    <x v="120"/>
    <d v="2022-06-19T00:00:00"/>
    <x v="0"/>
    <x v="1"/>
    <n v="811"/>
    <n v="31.8"/>
    <n v="30.33"/>
    <n v="58"/>
    <x v="0"/>
    <n v="13"/>
    <x v="662"/>
    <n v="25789.8"/>
    <n v="1192.1700000000019"/>
    <n v="4.6226415094339696E-2"/>
    <n v="7.1516646115906288E-2"/>
    <s v="Late"/>
    <s v="OK"/>
  </r>
  <r>
    <s v="PO-00664"/>
    <x v="0"/>
    <x v="432"/>
    <d v="2024-01-12T00:00:00"/>
    <x v="5"/>
    <x v="1"/>
    <n v="1732"/>
    <n v="15.37"/>
    <n v="14.7"/>
    <n v="38"/>
    <x v="0"/>
    <n v="18"/>
    <x v="663"/>
    <n v="26620.84"/>
    <n v="1160.4400000000023"/>
    <n v="4.3591411841249275E-2"/>
    <n v="2.1939953810623556E-2"/>
    <s v="Late"/>
    <s v="OK"/>
  </r>
  <r>
    <s v="PO-00665"/>
    <x v="3"/>
    <x v="198"/>
    <d v="2022-08-28T00:00:00"/>
    <x v="2"/>
    <x v="1"/>
    <n v="491"/>
    <n v="12.01"/>
    <n v="11.67"/>
    <n v="47"/>
    <x v="0"/>
    <n v="20"/>
    <x v="664"/>
    <n v="5896.91"/>
    <n v="166.9399999999996"/>
    <n v="2.8309741881765129E-2"/>
    <n v="9.5723014256619138E-2"/>
    <s v="Late"/>
    <s v="OK"/>
  </r>
  <r>
    <s v="PO-00666"/>
    <x v="2"/>
    <x v="124"/>
    <d v="2022-03-11T00:00:00"/>
    <x v="2"/>
    <x v="0"/>
    <n v="1681"/>
    <n v="99.88"/>
    <n v="96.38"/>
    <n v="90"/>
    <x v="0"/>
    <n v="4"/>
    <x v="665"/>
    <n v="167898.28"/>
    <n v="5883.5"/>
    <n v="3.5042050460552664E-2"/>
    <n v="5.353955978584176E-2"/>
    <s v="Cancelled"/>
    <s v="Status-Date Conflict"/>
  </r>
  <r>
    <s v="PO-00667"/>
    <x v="0"/>
    <x v="397"/>
    <d v="2023-03-05T00:00:00"/>
    <x v="3"/>
    <x v="2"/>
    <n v="818"/>
    <n v="51.89"/>
    <n v="47.85"/>
    <n v="12"/>
    <x v="0"/>
    <n v="4"/>
    <x v="666"/>
    <n v="42446.020000000004"/>
    <n v="3304.7200000000012"/>
    <n v="7.7857005203314719E-2"/>
    <n v="1.4669926650366748E-2"/>
    <s v="Partially Delivered"/>
    <s v="Status-Date Conflict"/>
  </r>
  <r>
    <s v="PO-00668"/>
    <x v="3"/>
    <x v="433"/>
    <d v="2023-03-05T00:00:00"/>
    <x v="0"/>
    <x v="1"/>
    <n v="1065"/>
    <n v="47.49"/>
    <n v="41.42"/>
    <n v="113"/>
    <x v="0"/>
    <n v="11"/>
    <x v="667"/>
    <n v="50576.85"/>
    <n v="6464.5499999999956"/>
    <n v="0.12781638239629386"/>
    <n v="0.10610328638497653"/>
    <s v="Late"/>
    <s v="OK"/>
  </r>
  <r>
    <s v="PO-00669"/>
    <x v="2"/>
    <x v="193"/>
    <d v="2022-12-17T00:00:00"/>
    <x v="2"/>
    <x v="1"/>
    <n v="1398"/>
    <n v="75.08"/>
    <n v="67.09"/>
    <n v="57"/>
    <x v="0"/>
    <n v="12"/>
    <x v="668"/>
    <n v="104961.84"/>
    <n v="11170.01999999999"/>
    <n v="0.10641981885988269"/>
    <n v="4.07725321888412E-2"/>
    <s v="Late"/>
    <s v="OK"/>
  </r>
  <r>
    <s v="PO-00670"/>
    <x v="3"/>
    <x v="248"/>
    <d v="2023-07-17T00:00:00"/>
    <x v="2"/>
    <x v="1"/>
    <n v="565"/>
    <n v="32.31"/>
    <n v="29.76"/>
    <n v="60"/>
    <x v="0"/>
    <n v="7"/>
    <x v="669"/>
    <n v="18255.150000000001"/>
    <n v="1440.75"/>
    <n v="7.8922934076137416E-2"/>
    <n v="0.10619469026548672"/>
    <s v="On Time"/>
    <s v="OK"/>
  </r>
  <r>
    <s v="PO-00671"/>
    <x v="4"/>
    <x v="434"/>
    <d v="2023-05-06T00:00:00"/>
    <x v="2"/>
    <x v="3"/>
    <n v="1089"/>
    <n v="102.66"/>
    <n v="89.21"/>
    <n v="33"/>
    <x v="0"/>
    <n v="13"/>
    <x v="670"/>
    <n v="111796.73999999999"/>
    <n v="14647.050000000003"/>
    <n v="0.13101500097408927"/>
    <n v="3.0303030303030304E-2"/>
    <s v="Pending"/>
    <s v="Status-Date Conflict"/>
  </r>
  <r>
    <s v="PO-00672"/>
    <x v="1"/>
    <x v="435"/>
    <d v="2023-03-04T00:00:00"/>
    <x v="5"/>
    <x v="1"/>
    <n v="841"/>
    <n v="86.43"/>
    <n v="83.77"/>
    <n v="125"/>
    <x v="1"/>
    <n v="2"/>
    <x v="671"/>
    <n v="72687.63"/>
    <n v="2237.0600000000122"/>
    <n v="3.0776350804119106E-2"/>
    <n v="0.14863258026159334"/>
    <s v="On Time"/>
    <s v="OK"/>
  </r>
  <r>
    <s v="PO-00673"/>
    <x v="1"/>
    <x v="436"/>
    <d v="2022-03-16T00:00:00"/>
    <x v="5"/>
    <x v="1"/>
    <n v="385"/>
    <n v="18.23"/>
    <n v="17.739999999999998"/>
    <m/>
    <x v="0"/>
    <n v="11"/>
    <x v="672"/>
    <n v="7018.55"/>
    <n v="188.65000000000055"/>
    <n v="2.6878771256171222E-2"/>
    <n v="0"/>
    <s v="Late"/>
    <s v="OK"/>
  </r>
  <r>
    <s v="PO-00674"/>
    <x v="4"/>
    <x v="437"/>
    <d v="2022-08-17T00:00:00"/>
    <x v="0"/>
    <x v="1"/>
    <n v="1832"/>
    <n v="49.01"/>
    <n v="41.86"/>
    <n v="52"/>
    <x v="0"/>
    <n v="17"/>
    <x v="673"/>
    <n v="89786.319999999992"/>
    <n v="13098.799999999988"/>
    <n v="0.14588859416445613"/>
    <n v="2.8384279475982533E-2"/>
    <s v="Late"/>
    <s v="OK"/>
  </r>
  <r>
    <s v="PO-00675"/>
    <x v="3"/>
    <x v="372"/>
    <d v="2023-03-27T00:00:00"/>
    <x v="3"/>
    <x v="1"/>
    <n v="307"/>
    <n v="95.36"/>
    <n v="83.63"/>
    <n v="29"/>
    <x v="0"/>
    <n v="20"/>
    <x v="674"/>
    <n v="29275.52"/>
    <n v="3601.1100000000006"/>
    <n v="0.12300755033557048"/>
    <n v="9.4462540716612378E-2"/>
    <s v="Late"/>
    <s v="OK"/>
  </r>
  <r>
    <s v="PO-00676"/>
    <x v="4"/>
    <x v="438"/>
    <d v="2023-02-08T00:00:00"/>
    <x v="0"/>
    <x v="1"/>
    <n v="546"/>
    <n v="101.2"/>
    <n v="97.82"/>
    <n v="21"/>
    <x v="0"/>
    <n v="5"/>
    <x v="675"/>
    <n v="55255.200000000004"/>
    <n v="1845.4800000000105"/>
    <n v="3.3399209486166197E-2"/>
    <n v="3.8461538461538464E-2"/>
    <s v="On Time"/>
    <s v="OK"/>
  </r>
  <r>
    <s v="PO-00677"/>
    <x v="1"/>
    <x v="110"/>
    <d v="2023-09-11T00:00:00"/>
    <x v="3"/>
    <x v="1"/>
    <n v="945"/>
    <n v="57.01"/>
    <n v="55.14"/>
    <n v="147"/>
    <x v="1"/>
    <n v="20"/>
    <x v="676"/>
    <n v="53874.45"/>
    <n v="1767.1499999999942"/>
    <n v="3.2801262936326854E-2"/>
    <n v="0.15555555555555556"/>
    <s v="Late"/>
    <s v="OK"/>
  </r>
  <r>
    <s v="PO-00678"/>
    <x v="1"/>
    <x v="407"/>
    <d v="2023-12-27T00:00:00"/>
    <x v="1"/>
    <x v="3"/>
    <n v="209"/>
    <n v="72.709999999999994"/>
    <n v="64.34"/>
    <n v="39"/>
    <x v="0"/>
    <n v="13"/>
    <x v="677"/>
    <n v="15196.39"/>
    <n v="1749.3299999999981"/>
    <n v="0.11511483977444631"/>
    <n v="0.18660287081339713"/>
    <s v="Pending"/>
    <s v="Status-Date Conflict"/>
  </r>
  <r>
    <s v="PO-00679"/>
    <x v="3"/>
    <x v="439"/>
    <m/>
    <x v="2"/>
    <x v="1"/>
    <n v="1548"/>
    <n v="25.03"/>
    <n v="22.87"/>
    <m/>
    <x v="0"/>
    <s v=""/>
    <x v="678"/>
    <n v="38746.44"/>
    <n v="3343.6800000000003"/>
    <n v="8.629644426687974E-2"/>
    <n v="0"/>
    <s v="Missing Delivery Date"/>
    <s v="Missing Delivery Date"/>
  </r>
  <r>
    <s v="PO-00680"/>
    <x v="1"/>
    <x v="399"/>
    <d v="2023-08-23T00:00:00"/>
    <x v="3"/>
    <x v="1"/>
    <n v="901"/>
    <n v="108.63"/>
    <n v="106.3"/>
    <n v="141"/>
    <x v="0"/>
    <n v="10"/>
    <x v="679"/>
    <n v="97875.62999999999"/>
    <n v="2099.3299999999872"/>
    <n v="2.1448955168921899E-2"/>
    <n v="0.15649278579356271"/>
    <s v="On Time"/>
    <s v="OK"/>
  </r>
  <r>
    <s v="PO-00681"/>
    <x v="4"/>
    <x v="38"/>
    <d v="2023-02-11T00:00:00"/>
    <x v="2"/>
    <x v="1"/>
    <n v="1737"/>
    <n v="32.700000000000003"/>
    <n v="31.02"/>
    <n v="48"/>
    <x v="0"/>
    <n v="17"/>
    <x v="680"/>
    <n v="56799.9"/>
    <n v="2918.1600000000035"/>
    <n v="5.1376146788990884E-2"/>
    <n v="2.7633851468048358E-2"/>
    <s v="Late"/>
    <s v="OK"/>
  </r>
  <r>
    <s v="PO-00682"/>
    <x v="3"/>
    <x v="251"/>
    <d v="2023-05-22T00:00:00"/>
    <x v="3"/>
    <x v="1"/>
    <n v="1981"/>
    <n v="102.43"/>
    <n v="90.99"/>
    <n v="204"/>
    <x v="0"/>
    <n v="18"/>
    <x v="681"/>
    <n v="202913.83000000002"/>
    <n v="22662.640000000014"/>
    <n v="0.1116860294835498"/>
    <n v="0.10297829379101464"/>
    <s v="Late"/>
    <s v="OK"/>
  </r>
  <r>
    <s v="PO-00683"/>
    <x v="4"/>
    <x v="30"/>
    <d v="2022-01-26T00:00:00"/>
    <x v="1"/>
    <x v="3"/>
    <n v="739"/>
    <n v="68.47"/>
    <n v="66.09"/>
    <n v="19"/>
    <x v="0"/>
    <n v="19"/>
    <x v="682"/>
    <n v="50599.33"/>
    <n v="1758.8199999999997"/>
    <n v="3.4759748795092735E-2"/>
    <n v="2.571041948579161E-2"/>
    <s v="Pending"/>
    <s v="Status-Date Conflict"/>
  </r>
  <r>
    <s v="PO-00684"/>
    <x v="3"/>
    <x v="440"/>
    <d v="2022-12-28T00:00:00"/>
    <x v="3"/>
    <x v="1"/>
    <n v="1748"/>
    <n v="68.25"/>
    <n v="62.84"/>
    <n v="171"/>
    <x v="0"/>
    <n v="1"/>
    <x v="683"/>
    <n v="119301"/>
    <n v="9456.679999999993"/>
    <n v="7.9267399267399202E-2"/>
    <n v="9.7826086956521743E-2"/>
    <s v="On Time"/>
    <s v="OK"/>
  </r>
  <r>
    <s v="PO-00685"/>
    <x v="1"/>
    <x v="143"/>
    <d v="2022-11-06T00:00:00"/>
    <x v="0"/>
    <x v="0"/>
    <n v="429"/>
    <n v="58.95"/>
    <n v="55.35"/>
    <n v="59"/>
    <x v="1"/>
    <n v="4"/>
    <x v="684"/>
    <n v="25289.550000000003"/>
    <n v="1544.4000000000015"/>
    <n v="6.1068702290076389E-2"/>
    <n v="0.13752913752913754"/>
    <s v="Cancelled"/>
    <s v="Status-Date Conflict"/>
  </r>
  <r>
    <s v="PO-00686"/>
    <x v="2"/>
    <x v="238"/>
    <m/>
    <x v="5"/>
    <x v="1"/>
    <n v="1618"/>
    <n v="32.76"/>
    <n v="28.41"/>
    <n v="62"/>
    <x v="0"/>
    <s v=""/>
    <x v="685"/>
    <n v="53005.68"/>
    <n v="7038.3000000000029"/>
    <n v="0.13278388278388284"/>
    <n v="3.8318912237330034E-2"/>
    <s v="Missing Delivery Date"/>
    <s v="Missing Delivery Date"/>
  </r>
  <r>
    <s v="PO-00687"/>
    <x v="3"/>
    <x v="25"/>
    <d v="2023-03-07T00:00:00"/>
    <x v="2"/>
    <x v="1"/>
    <n v="1006"/>
    <n v="27.7"/>
    <n v="23.66"/>
    <n v="101"/>
    <x v="1"/>
    <n v="1"/>
    <x v="686"/>
    <n v="27866.2"/>
    <n v="4064.2400000000016"/>
    <n v="0.14584837545126358"/>
    <n v="0.10039761431411531"/>
    <s v="On Time"/>
    <s v="OK"/>
  </r>
  <r>
    <s v="PO-00688"/>
    <x v="3"/>
    <x v="108"/>
    <d v="2023-07-15T00:00:00"/>
    <x v="5"/>
    <x v="2"/>
    <n v="740"/>
    <n v="32.53"/>
    <n v="29.35"/>
    <n v="84"/>
    <x v="0"/>
    <n v="9"/>
    <x v="687"/>
    <n v="24072.2"/>
    <n v="2353.2000000000007"/>
    <n v="9.7755917614509705E-2"/>
    <n v="0.11351351351351352"/>
    <s v="Partially Delivered"/>
    <s v="Status-Date Conflict"/>
  </r>
  <r>
    <s v="PO-00689"/>
    <x v="2"/>
    <x v="441"/>
    <m/>
    <x v="3"/>
    <x v="1"/>
    <n v="1500"/>
    <n v="29.19"/>
    <n v="27.24"/>
    <n v="72"/>
    <x v="0"/>
    <s v=""/>
    <x v="688"/>
    <n v="43785"/>
    <n v="2925"/>
    <n v="6.680369989722508E-2"/>
    <n v="4.8000000000000001E-2"/>
    <s v="Missing Delivery Date"/>
    <s v="Missing Delivery Date"/>
  </r>
  <r>
    <s v="PO-00690"/>
    <x v="1"/>
    <x v="442"/>
    <d v="2023-09-29T00:00:00"/>
    <x v="0"/>
    <x v="0"/>
    <n v="1686"/>
    <n v="88.18"/>
    <n v="77.150000000000006"/>
    <m/>
    <x v="0"/>
    <n v="19"/>
    <x v="689"/>
    <n v="148671.48000000001"/>
    <n v="18596.580000000002"/>
    <n v="0.12508505330006806"/>
    <n v="0"/>
    <s v="Cancelled"/>
    <s v="Status-Date Conflict"/>
  </r>
  <r>
    <s v="PO-00691"/>
    <x v="4"/>
    <x v="26"/>
    <d v="2022-08-16T00:00:00"/>
    <x v="3"/>
    <x v="0"/>
    <n v="1341"/>
    <n v="42.96"/>
    <n v="41.75"/>
    <n v="39"/>
    <x v="0"/>
    <n v="2"/>
    <x v="690"/>
    <n v="57609.36"/>
    <n v="1622.6100000000006"/>
    <n v="2.8165735567970213E-2"/>
    <n v="2.9082774049217001E-2"/>
    <s v="Cancelled"/>
    <s v="Status-Date Conflict"/>
  </r>
  <r>
    <s v="PO-00692"/>
    <x v="0"/>
    <x v="443"/>
    <d v="2023-05-21T00:00:00"/>
    <x v="1"/>
    <x v="0"/>
    <n v="1908"/>
    <n v="16.420000000000002"/>
    <n v="15.31"/>
    <n v="36"/>
    <x v="0"/>
    <n v="6"/>
    <x v="691"/>
    <n v="31329.360000000004"/>
    <n v="2117.8800000000047"/>
    <n v="6.7600487210718777E-2"/>
    <n v="1.8867924528301886E-2"/>
    <s v="Cancelled"/>
    <s v="Status-Date Conflict"/>
  </r>
  <r>
    <s v="PO-00693"/>
    <x v="2"/>
    <x v="87"/>
    <d v="2022-09-02T00:00:00"/>
    <x v="1"/>
    <x v="2"/>
    <n v="1650"/>
    <n v="100.62"/>
    <n v="90.45"/>
    <n v="85"/>
    <x v="0"/>
    <n v="20"/>
    <x v="692"/>
    <n v="166023"/>
    <n v="16780.5"/>
    <n v="0.10107334525939177"/>
    <n v="5.1515151515151514E-2"/>
    <s v="Partially Delivered"/>
    <s v="Status-Date Conflict"/>
  </r>
  <r>
    <s v="PO-00694"/>
    <x v="0"/>
    <x v="444"/>
    <d v="2022-10-20T00:00:00"/>
    <x v="1"/>
    <x v="1"/>
    <n v="1490"/>
    <n v="93.57"/>
    <n v="81.680000000000007"/>
    <n v="29"/>
    <x v="0"/>
    <n v="13"/>
    <x v="693"/>
    <n v="139419.29999999999"/>
    <n v="17716.099999999977"/>
    <n v="0.1270706422998823"/>
    <n v="1.9463087248322148E-2"/>
    <s v="Late"/>
    <s v="OK"/>
  </r>
  <r>
    <s v="PO-00695"/>
    <x v="1"/>
    <x v="357"/>
    <d v="2023-03-31T00:00:00"/>
    <x v="3"/>
    <x v="1"/>
    <n v="1241"/>
    <n v="100.04"/>
    <n v="97.56"/>
    <n v="187"/>
    <x v="0"/>
    <n v="8"/>
    <x v="694"/>
    <n v="124149.64000000001"/>
    <n v="3077.6800000000076"/>
    <n v="2.4790083966413492E-2"/>
    <n v="0.15068493150684931"/>
    <s v="On Time"/>
    <s v="OK"/>
  </r>
  <r>
    <s v="PO-00696"/>
    <x v="3"/>
    <x v="159"/>
    <d v="2023-05-17T00:00:00"/>
    <x v="1"/>
    <x v="1"/>
    <n v="1915"/>
    <n v="107.51"/>
    <n v="102.66"/>
    <n v="184"/>
    <x v="0"/>
    <n v="4"/>
    <x v="695"/>
    <n v="205881.65000000002"/>
    <n v="9287.7500000000291"/>
    <n v="4.5112082596967862E-2"/>
    <n v="9.608355091383812E-2"/>
    <s v="On Time"/>
    <s v="OK"/>
  </r>
  <r>
    <s v="PO-00697"/>
    <x v="3"/>
    <x v="445"/>
    <d v="2022-02-14T00:00:00"/>
    <x v="3"/>
    <x v="1"/>
    <n v="1116"/>
    <n v="25.65"/>
    <n v="24.28"/>
    <n v="121"/>
    <x v="0"/>
    <n v="15"/>
    <x v="696"/>
    <n v="28625.399999999998"/>
    <n v="1528.9199999999983"/>
    <n v="5.341130604288493E-2"/>
    <n v="0.10842293906810035"/>
    <s v="Late"/>
    <s v="OK"/>
  </r>
  <r>
    <s v="PO-00698"/>
    <x v="1"/>
    <x v="438"/>
    <d v="2023-02-08T00:00:00"/>
    <x v="3"/>
    <x v="1"/>
    <n v="1629"/>
    <n v="48.63"/>
    <n v="43.28"/>
    <n v="260"/>
    <x v="0"/>
    <n v="5"/>
    <x v="697"/>
    <n v="79218.27"/>
    <n v="8715.1500000000087"/>
    <n v="0.11001439440674492"/>
    <n v="0.15960712093308779"/>
    <s v="On Time"/>
    <s v="OK"/>
  </r>
  <r>
    <s v="PO-00699"/>
    <x v="4"/>
    <x v="36"/>
    <d v="2022-12-18T00:00:00"/>
    <x v="0"/>
    <x v="1"/>
    <n v="334"/>
    <n v="82.54"/>
    <n v="74.63"/>
    <m/>
    <x v="0"/>
    <n v="7"/>
    <x v="698"/>
    <n v="27568.36"/>
    <n v="2641.9400000000023"/>
    <n v="9.5832323721831925E-2"/>
    <n v="0"/>
    <s v="On Time"/>
    <s v="OK"/>
  </r>
  <r>
    <s v="PO-00700"/>
    <x v="4"/>
    <x v="446"/>
    <d v="2023-12-06T00:00:00"/>
    <x v="2"/>
    <x v="1"/>
    <n v="446"/>
    <n v="80.63"/>
    <n v="70.37"/>
    <m/>
    <x v="0"/>
    <n v="20"/>
    <x v="699"/>
    <n v="35960.979999999996"/>
    <n v="4575.9599999999955"/>
    <n v="0.12724792260945048"/>
    <n v="0"/>
    <s v="Late"/>
    <s v="OK"/>
  </r>
  <r>
    <s v="PO-00701"/>
    <x v="1"/>
    <x v="351"/>
    <m/>
    <x v="5"/>
    <x v="1"/>
    <n v="61"/>
    <n v="26.47"/>
    <n v="24.62"/>
    <n v="6"/>
    <x v="0"/>
    <s v=""/>
    <x v="700"/>
    <n v="1614.6699999999998"/>
    <n v="112.84999999999968"/>
    <n v="6.9890442009822251E-2"/>
    <n v="9.8360655737704916E-2"/>
    <s v="Missing Delivery Date"/>
    <s v="Missing Delivery Date"/>
  </r>
  <r>
    <s v="PO-00702"/>
    <x v="1"/>
    <x v="447"/>
    <d v="2023-02-21T00:00:00"/>
    <x v="2"/>
    <x v="1"/>
    <n v="1680"/>
    <n v="88.85"/>
    <n v="87.53"/>
    <m/>
    <x v="0"/>
    <n v="2"/>
    <x v="701"/>
    <n v="149268"/>
    <n v="2217.6000000000058"/>
    <n v="1.4856499718626938E-2"/>
    <n v="0"/>
    <s v="On Time"/>
    <s v="OK"/>
  </r>
  <r>
    <s v="PO-00703"/>
    <x v="1"/>
    <x v="167"/>
    <d v="2022-07-06T00:00:00"/>
    <x v="5"/>
    <x v="1"/>
    <n v="1375"/>
    <n v="30.95"/>
    <n v="30.02"/>
    <n v="223"/>
    <x v="0"/>
    <n v="17"/>
    <x v="702"/>
    <n v="42556.25"/>
    <n v="1278.75"/>
    <n v="3.0048465266558966E-2"/>
    <n v="0.16218181818181818"/>
    <s v="Late"/>
    <s v="OK"/>
  </r>
  <r>
    <s v="PO-00704"/>
    <x v="1"/>
    <x v="211"/>
    <d v="2023-05-05T00:00:00"/>
    <x v="5"/>
    <x v="2"/>
    <n v="1971"/>
    <n v="32.4"/>
    <n v="30.48"/>
    <n v="321"/>
    <x v="0"/>
    <n v="11"/>
    <x v="703"/>
    <n v="63860.399999999994"/>
    <n v="3784.3199999999924"/>
    <n v="5.9259259259259144E-2"/>
    <n v="0.16286149162861491"/>
    <s v="Partially Delivered"/>
    <s v="Status-Date Conflict"/>
  </r>
  <r>
    <s v="PO-00705"/>
    <x v="1"/>
    <x v="324"/>
    <m/>
    <x v="3"/>
    <x v="3"/>
    <n v="1326"/>
    <n v="59.49"/>
    <n v="56.21"/>
    <m/>
    <x v="0"/>
    <s v=""/>
    <x v="704"/>
    <n v="78883.740000000005"/>
    <n v="4349.2799999999988"/>
    <n v="5.5135316859976448E-2"/>
    <n v="0"/>
    <s v="Pending"/>
    <s v="OK"/>
  </r>
  <r>
    <s v="PO-00706"/>
    <x v="1"/>
    <x v="448"/>
    <d v="2023-10-13T00:00:00"/>
    <x v="1"/>
    <x v="0"/>
    <n v="548"/>
    <n v="69.7"/>
    <n v="61.87"/>
    <n v="90"/>
    <x v="0"/>
    <n v="13"/>
    <x v="705"/>
    <n v="38195.599999999999"/>
    <n v="4290.8399999999965"/>
    <n v="0.11233859397417495"/>
    <n v="0.16423357664233576"/>
    <s v="Cancelled"/>
    <s v="Status-Date Conflict"/>
  </r>
  <r>
    <s v="PO-00707"/>
    <x v="3"/>
    <x v="79"/>
    <d v="2023-07-07T00:00:00"/>
    <x v="1"/>
    <x v="1"/>
    <n v="803"/>
    <n v="67.81"/>
    <n v="61.53"/>
    <n v="78"/>
    <x v="0"/>
    <n v="6"/>
    <x v="706"/>
    <n v="54451.43"/>
    <n v="5042.8399999999965"/>
    <n v="9.2611709187435415E-2"/>
    <n v="9.7135740971357409E-2"/>
    <s v="On Time"/>
    <s v="OK"/>
  </r>
  <r>
    <s v="PO-00708"/>
    <x v="0"/>
    <x v="20"/>
    <d v="2022-02-15T00:00:00"/>
    <x v="1"/>
    <x v="1"/>
    <n v="84"/>
    <n v="18.23"/>
    <n v="15.55"/>
    <n v="0"/>
    <x v="0"/>
    <n v="18"/>
    <x v="707"/>
    <n v="1531.32"/>
    <n v="225.11999999999989"/>
    <n v="0.14701042238069109"/>
    <n v="0"/>
    <s v="Late"/>
    <s v="OK"/>
  </r>
  <r>
    <s v="PO-00709"/>
    <x v="4"/>
    <x v="449"/>
    <d v="2023-02-20T00:00:00"/>
    <x v="2"/>
    <x v="1"/>
    <n v="776"/>
    <n v="94.75"/>
    <n v="90.89"/>
    <n v="19"/>
    <x v="0"/>
    <n v="12"/>
    <x v="708"/>
    <n v="73526"/>
    <n v="2995.3600000000006"/>
    <n v="4.0738786279683387E-2"/>
    <n v="2.4484536082474227E-2"/>
    <s v="Late"/>
    <s v="OK"/>
  </r>
  <r>
    <s v="PO-00710"/>
    <x v="0"/>
    <x v="450"/>
    <d v="2023-09-08T00:00:00"/>
    <x v="1"/>
    <x v="1"/>
    <n v="898"/>
    <n v="37.119999999999997"/>
    <n v="35.54"/>
    <n v="18"/>
    <x v="1"/>
    <n v="9"/>
    <x v="709"/>
    <n v="33333.759999999995"/>
    <n v="1418.8399999999965"/>
    <n v="4.2564655172413694E-2"/>
    <n v="2.0044543429844099E-2"/>
    <s v="On Time"/>
    <s v="OK"/>
  </r>
  <r>
    <s v="PO-00711"/>
    <x v="3"/>
    <x v="451"/>
    <d v="2023-08-08T00:00:00"/>
    <x v="0"/>
    <x v="0"/>
    <n v="139"/>
    <n v="23.71"/>
    <n v="20.18"/>
    <n v="14"/>
    <x v="0"/>
    <n v="7"/>
    <x v="710"/>
    <n v="3295.69"/>
    <n v="490.67000000000007"/>
    <n v="0.14888232813159005"/>
    <n v="0.10071942446043165"/>
    <s v="Cancelled"/>
    <s v="Status-Date Conflict"/>
  </r>
  <r>
    <s v="PO-00712"/>
    <x v="2"/>
    <x v="452"/>
    <m/>
    <x v="3"/>
    <x v="1"/>
    <n v="825"/>
    <n v="99.89"/>
    <n v="97.65"/>
    <n v="30"/>
    <x v="0"/>
    <s v=""/>
    <x v="711"/>
    <n v="82409.25"/>
    <n v="1848"/>
    <n v="2.2424667133847231E-2"/>
    <n v="3.6363636363636362E-2"/>
    <s v="Missing Delivery Date"/>
    <s v="Missing Delivery Date"/>
  </r>
  <r>
    <s v="PO-00713"/>
    <x v="0"/>
    <x v="20"/>
    <d v="2022-02-07T00:00:00"/>
    <x v="1"/>
    <x v="1"/>
    <n v="654"/>
    <n v="96.01"/>
    <n v="90.31"/>
    <n v="10"/>
    <x v="0"/>
    <n v="10"/>
    <x v="712"/>
    <n v="62790.54"/>
    <n v="3727.8000000000029"/>
    <n v="5.9368815748359588E-2"/>
    <n v="1.5290519877675841E-2"/>
    <s v="On Time"/>
    <s v="OK"/>
  </r>
  <r>
    <s v="PO-00714"/>
    <x v="2"/>
    <x v="453"/>
    <d v="2022-04-06T00:00:00"/>
    <x v="1"/>
    <x v="1"/>
    <n v="1995"/>
    <n v="88.47"/>
    <n v="82.65"/>
    <n v="87"/>
    <x v="1"/>
    <n v="10"/>
    <x v="713"/>
    <n v="176497.65"/>
    <n v="11610.899999999994"/>
    <n v="6.5785011868429943E-2"/>
    <n v="4.3609022556390979E-2"/>
    <s v="On Time"/>
    <s v="OK"/>
  </r>
  <r>
    <s v="PO-00715"/>
    <x v="3"/>
    <x v="103"/>
    <d v="2023-10-28T00:00:00"/>
    <x v="1"/>
    <x v="1"/>
    <n v="1019"/>
    <n v="91.56"/>
    <n v="77.930000000000007"/>
    <n v="111"/>
    <x v="1"/>
    <n v="7"/>
    <x v="714"/>
    <n v="93299.64"/>
    <n v="13888.969999999987"/>
    <n v="0.14886413280908681"/>
    <n v="0.10893032384690873"/>
    <s v="On Time"/>
    <s v="OK"/>
  </r>
  <r>
    <s v="PO-00716"/>
    <x v="4"/>
    <x v="111"/>
    <d v="2023-03-31T00:00:00"/>
    <x v="2"/>
    <x v="3"/>
    <n v="1675"/>
    <n v="73.8"/>
    <n v="65.34"/>
    <n v="42"/>
    <x v="0"/>
    <n v="16"/>
    <x v="715"/>
    <n v="123615"/>
    <n v="14170.5"/>
    <n v="0.11463414634146342"/>
    <n v="2.5074626865671641E-2"/>
    <s v="Pending"/>
    <s v="Status-Date Conflict"/>
  </r>
  <r>
    <s v="PO-00717"/>
    <x v="2"/>
    <x v="454"/>
    <d v="2022-05-31T00:00:00"/>
    <x v="3"/>
    <x v="3"/>
    <n v="1071"/>
    <n v="60.77"/>
    <n v="58.5"/>
    <m/>
    <x v="0"/>
    <n v="12"/>
    <x v="716"/>
    <n v="65084.670000000006"/>
    <n v="2431.1700000000055"/>
    <n v="3.7353957544841283E-2"/>
    <n v="0"/>
    <s v="Pending"/>
    <s v="Status-Date Conflict"/>
  </r>
  <r>
    <s v="PO-00718"/>
    <x v="3"/>
    <x v="455"/>
    <d v="2023-04-27T00:00:00"/>
    <x v="0"/>
    <x v="1"/>
    <n v="467"/>
    <n v="19.170000000000002"/>
    <n v="17.11"/>
    <n v="49"/>
    <x v="0"/>
    <n v="9"/>
    <x v="717"/>
    <n v="8952.3900000000012"/>
    <n v="962.02000000000135"/>
    <n v="0.10745957224830478"/>
    <n v="0.10492505353319058"/>
    <s v="On Time"/>
    <s v="OK"/>
  </r>
  <r>
    <s v="PO-00719"/>
    <x v="1"/>
    <x v="456"/>
    <d v="2022-07-25T00:00:00"/>
    <x v="1"/>
    <x v="3"/>
    <n v="164"/>
    <n v="48.16"/>
    <n v="47.46"/>
    <n v="27"/>
    <x v="0"/>
    <n v="19"/>
    <x v="718"/>
    <n v="7898.24"/>
    <n v="114.79999999999927"/>
    <n v="1.453488372093014E-2"/>
    <n v="0.16463414634146342"/>
    <s v="Pending"/>
    <s v="Status-Date Conflict"/>
  </r>
  <r>
    <s v="PO-00720"/>
    <x v="4"/>
    <x v="228"/>
    <d v="2022-03-06T00:00:00"/>
    <x v="5"/>
    <x v="0"/>
    <n v="666"/>
    <n v="43.76"/>
    <n v="41.13"/>
    <n v="18"/>
    <x v="0"/>
    <n v="13"/>
    <x v="719"/>
    <n v="29144.16"/>
    <n v="1751.5799999999981"/>
    <n v="6.0100548446069407E-2"/>
    <n v="2.7027027027027029E-2"/>
    <s v="Cancelled"/>
    <s v="Status-Date Conflict"/>
  </r>
  <r>
    <s v="PO-00721"/>
    <x v="1"/>
    <x v="457"/>
    <d v="2022-10-07T00:00:00"/>
    <x v="2"/>
    <x v="2"/>
    <n v="1976"/>
    <n v="34.71"/>
    <n v="31.56"/>
    <n v="286"/>
    <x v="1"/>
    <n v="13"/>
    <x v="720"/>
    <n v="68586.960000000006"/>
    <n v="6224.4000000000087"/>
    <n v="9.0751944684529073E-2"/>
    <n v="0.14473684210526316"/>
    <s v="Partially Delivered"/>
    <s v="Status-Date Conflict"/>
  </r>
  <r>
    <s v="PO-00722"/>
    <x v="4"/>
    <x v="82"/>
    <d v="2023-01-29T00:00:00"/>
    <x v="1"/>
    <x v="1"/>
    <n v="1269"/>
    <n v="79.61"/>
    <n v="71.86"/>
    <n v="47"/>
    <x v="0"/>
    <n v="5"/>
    <x v="721"/>
    <n v="101025.09"/>
    <n v="9834.75"/>
    <n v="9.7349579198593147E-2"/>
    <n v="3.7037037037037035E-2"/>
    <s v="On Time"/>
    <s v="OK"/>
  </r>
  <r>
    <s v="PO-00723"/>
    <x v="4"/>
    <x v="458"/>
    <d v="2022-12-12T00:00:00"/>
    <x v="1"/>
    <x v="1"/>
    <n v="875"/>
    <n v="57.63"/>
    <n v="51.8"/>
    <n v="16"/>
    <x v="0"/>
    <n v="10"/>
    <x v="722"/>
    <n v="50426.25"/>
    <n v="5101.25"/>
    <n v="0.10116258892937706"/>
    <n v="1.8285714285714287E-2"/>
    <s v="On Time"/>
    <s v="OK"/>
  </r>
  <r>
    <s v="PO-00724"/>
    <x v="0"/>
    <x v="96"/>
    <m/>
    <x v="2"/>
    <x v="2"/>
    <n v="1574"/>
    <n v="17.899999999999999"/>
    <n v="15.85"/>
    <n v="31"/>
    <x v="0"/>
    <s v=""/>
    <x v="723"/>
    <n v="28174.6"/>
    <n v="3226.7000000000007"/>
    <n v="0.1145251396648045"/>
    <n v="1.9695044472681066E-2"/>
    <s v="Partially Delivered"/>
    <s v="OK"/>
  </r>
  <r>
    <s v="PO-00725"/>
    <x v="4"/>
    <x v="239"/>
    <d v="2023-04-26T00:00:00"/>
    <x v="0"/>
    <x v="2"/>
    <n v="1699"/>
    <n v="32.049999999999997"/>
    <n v="29.34"/>
    <n v="69"/>
    <x v="0"/>
    <n v="15"/>
    <x v="724"/>
    <n v="54452.95"/>
    <n v="4604.2900000000009"/>
    <n v="8.4555382215288633E-2"/>
    <n v="4.061212477928193E-2"/>
    <s v="Partially Delivered"/>
    <s v="Status-Date Conflict"/>
  </r>
  <r>
    <s v="PO-00726"/>
    <x v="0"/>
    <x v="370"/>
    <d v="2022-12-17T00:00:00"/>
    <x v="5"/>
    <x v="1"/>
    <n v="1566"/>
    <n v="75.430000000000007"/>
    <n v="71.27"/>
    <n v="27"/>
    <x v="0"/>
    <n v="16"/>
    <x v="725"/>
    <n v="118123.38"/>
    <n v="6514.5600000000122"/>
    <n v="5.5150470635025955E-2"/>
    <n v="1.7241379310344827E-2"/>
    <s v="Late"/>
    <s v="OK"/>
  </r>
  <r>
    <s v="PO-00727"/>
    <x v="2"/>
    <x v="459"/>
    <d v="2022-12-30T00:00:00"/>
    <x v="5"/>
    <x v="1"/>
    <n v="1148"/>
    <n v="17.78"/>
    <n v="17.16"/>
    <n v="61"/>
    <x v="0"/>
    <n v="18"/>
    <x v="726"/>
    <n v="20411.440000000002"/>
    <n v="711.76000000000204"/>
    <n v="3.4870641169853861E-2"/>
    <n v="5.3135888501742161E-2"/>
    <s v="Late"/>
    <s v="OK"/>
  </r>
  <r>
    <s v="PO-00728"/>
    <x v="4"/>
    <x v="82"/>
    <d v="2023-02-11T00:00:00"/>
    <x v="0"/>
    <x v="1"/>
    <n v="462"/>
    <n v="91.81"/>
    <n v="83.14"/>
    <n v="11"/>
    <x v="0"/>
    <n v="18"/>
    <x v="727"/>
    <n v="42416.22"/>
    <n v="4005.5400000000009"/>
    <n v="9.4434157499183116E-2"/>
    <n v="2.3809523809523808E-2"/>
    <s v="Late"/>
    <s v="OK"/>
  </r>
  <r>
    <s v="PO-00729"/>
    <x v="2"/>
    <x v="29"/>
    <d v="2022-10-17T00:00:00"/>
    <x v="2"/>
    <x v="1"/>
    <n v="1449"/>
    <n v="57.02"/>
    <n v="49.28"/>
    <n v="71"/>
    <x v="0"/>
    <n v="5"/>
    <x v="728"/>
    <n v="82621.98000000001"/>
    <n v="11215.260000000009"/>
    <n v="0.13574184496667846"/>
    <n v="4.8999309868875088E-2"/>
    <s v="On Time"/>
    <s v="OK"/>
  </r>
  <r>
    <s v="PO-00730"/>
    <x v="4"/>
    <x v="460"/>
    <d v="2023-03-27T00:00:00"/>
    <x v="1"/>
    <x v="1"/>
    <n v="1493"/>
    <n v="56.98"/>
    <n v="52.51"/>
    <n v="43"/>
    <x v="0"/>
    <n v="19"/>
    <x v="729"/>
    <n v="85071.14"/>
    <n v="6673.7100000000064"/>
    <n v="7.8448578448578526E-2"/>
    <n v="2.8801071667782986E-2"/>
    <s v="Late"/>
    <s v="OK"/>
  </r>
  <r>
    <s v="PO-00731"/>
    <x v="0"/>
    <x v="461"/>
    <d v="2022-09-18T00:00:00"/>
    <x v="0"/>
    <x v="1"/>
    <n v="778"/>
    <n v="65.849999999999994"/>
    <n v="62.08"/>
    <m/>
    <x v="1"/>
    <n v="2"/>
    <x v="730"/>
    <n v="51231.299999999996"/>
    <n v="2933.0599999999977"/>
    <n v="5.7251328777524639E-2"/>
    <n v="0"/>
    <s v="On Time"/>
    <s v="OK"/>
  </r>
  <r>
    <s v="PO-00732"/>
    <x v="1"/>
    <x v="266"/>
    <d v="2022-04-11T00:00:00"/>
    <x v="2"/>
    <x v="2"/>
    <n v="1350"/>
    <n v="85.06"/>
    <n v="82.34"/>
    <m/>
    <x v="1"/>
    <n v="17"/>
    <x v="731"/>
    <n v="114831"/>
    <n v="3672"/>
    <n v="3.1977427698095459E-2"/>
    <n v="0"/>
    <s v="Partially Delivered"/>
    <s v="Status-Date Conflict"/>
  </r>
  <r>
    <s v="PO-00733"/>
    <x v="4"/>
    <x v="340"/>
    <d v="2023-05-05T00:00:00"/>
    <x v="2"/>
    <x v="1"/>
    <n v="1070"/>
    <n v="44.4"/>
    <n v="40.07"/>
    <n v="26"/>
    <x v="0"/>
    <n v="8"/>
    <x v="732"/>
    <n v="47508"/>
    <n v="4633.0999999999985"/>
    <n v="9.7522522522522498E-2"/>
    <n v="2.4299065420560748E-2"/>
    <s v="On Time"/>
    <s v="OK"/>
  </r>
  <r>
    <s v="PO-00734"/>
    <x v="3"/>
    <x v="152"/>
    <d v="2022-02-03T00:00:00"/>
    <x v="2"/>
    <x v="3"/>
    <n v="810"/>
    <n v="71.02"/>
    <n v="66.8"/>
    <n v="73"/>
    <x v="0"/>
    <n v="14"/>
    <x v="733"/>
    <n v="57526.2"/>
    <n v="3418.1999999999971"/>
    <n v="5.9419881723458134E-2"/>
    <n v="9.0123456790123457E-2"/>
    <s v="Pending"/>
    <s v="Status-Date Conflict"/>
  </r>
  <r>
    <s v="PO-00735"/>
    <x v="1"/>
    <x v="146"/>
    <d v="2023-07-23T00:00:00"/>
    <x v="2"/>
    <x v="0"/>
    <n v="725"/>
    <n v="66.400000000000006"/>
    <n v="62.1"/>
    <n v="118"/>
    <x v="0"/>
    <n v="16"/>
    <x v="734"/>
    <n v="48140.000000000007"/>
    <n v="3117.5000000000073"/>
    <n v="6.4759036144578452E-2"/>
    <n v="0.16275862068965516"/>
    <s v="Cancelled"/>
    <s v="Status-Date Conflict"/>
  </r>
  <r>
    <s v="PO-00736"/>
    <x v="0"/>
    <x v="462"/>
    <d v="2022-02-28T00:00:00"/>
    <x v="5"/>
    <x v="1"/>
    <n v="1467"/>
    <n v="34.200000000000003"/>
    <n v="30.5"/>
    <n v="25"/>
    <x v="0"/>
    <n v="5"/>
    <x v="735"/>
    <n v="50171.4"/>
    <n v="5427.9000000000015"/>
    <n v="0.108187134502924"/>
    <n v="1.7041581458759374E-2"/>
    <s v="On Time"/>
    <s v="OK"/>
  </r>
  <r>
    <s v="PO-00737"/>
    <x v="3"/>
    <x v="344"/>
    <d v="2023-01-12T00:00:00"/>
    <x v="2"/>
    <x v="1"/>
    <n v="1942"/>
    <n v="93.98"/>
    <n v="81.31"/>
    <n v="198"/>
    <x v="0"/>
    <n v="18"/>
    <x v="736"/>
    <n v="182509.16"/>
    <n v="24605.139999999985"/>
    <n v="0.13481591828048511"/>
    <n v="0.101956745623069"/>
    <s v="Late"/>
    <s v="OK"/>
  </r>
  <r>
    <s v="PO-00738"/>
    <x v="2"/>
    <x v="463"/>
    <m/>
    <x v="0"/>
    <x v="1"/>
    <n v="506"/>
    <n v="84.63"/>
    <n v="72.69"/>
    <n v="20"/>
    <x v="0"/>
    <s v=""/>
    <x v="737"/>
    <n v="42822.78"/>
    <n v="6041.6399999999994"/>
    <n v="0.14108472172988301"/>
    <n v="3.9525691699604744E-2"/>
    <s v="Missing Delivery Date"/>
    <s v="Missing Delivery Date"/>
  </r>
  <r>
    <s v="PO-00739"/>
    <x v="0"/>
    <x v="23"/>
    <d v="2023-11-13T00:00:00"/>
    <x v="1"/>
    <x v="1"/>
    <n v="969"/>
    <n v="76.53"/>
    <n v="75.64"/>
    <n v="30"/>
    <x v="0"/>
    <n v="16"/>
    <x v="738"/>
    <n v="74157.570000000007"/>
    <n v="862.41000000000349"/>
    <n v="1.1629426368744328E-2"/>
    <n v="3.0959752321981424E-2"/>
    <s v="Late"/>
    <s v="OK"/>
  </r>
  <r>
    <s v="PO-00740"/>
    <x v="1"/>
    <x v="160"/>
    <d v="2022-03-19T00:00:00"/>
    <x v="1"/>
    <x v="1"/>
    <n v="241"/>
    <n v="87.42"/>
    <n v="82.15"/>
    <m/>
    <x v="0"/>
    <n v="7"/>
    <x v="739"/>
    <n v="21068.22"/>
    <n v="1270.0699999999997"/>
    <n v="6.0283687943262394E-2"/>
    <n v="0"/>
    <s v="On Time"/>
    <s v="OK"/>
  </r>
  <r>
    <s v="PO-00741"/>
    <x v="2"/>
    <x v="229"/>
    <d v="2023-11-09T00:00:00"/>
    <x v="3"/>
    <x v="1"/>
    <n v="788"/>
    <n v="97.3"/>
    <n v="94.44"/>
    <n v="32"/>
    <x v="0"/>
    <n v="10"/>
    <x v="740"/>
    <n v="76672.399999999994"/>
    <n v="2253.679999999993"/>
    <n v="2.9393627954778945E-2"/>
    <n v="4.060913705583756E-2"/>
    <s v="On Time"/>
    <s v="OK"/>
  </r>
  <r>
    <s v="PO-00742"/>
    <x v="2"/>
    <x v="464"/>
    <d v="2022-02-13T00:00:00"/>
    <x v="0"/>
    <x v="1"/>
    <n v="1762"/>
    <n v="74.12"/>
    <n v="65.709999999999994"/>
    <n v="94"/>
    <x v="0"/>
    <n v="2"/>
    <x v="741"/>
    <n v="130599.44"/>
    <n v="14818.420000000013"/>
    <n v="0.11346465191581229"/>
    <n v="5.3348467650397274E-2"/>
    <s v="On Time"/>
    <s v="OK"/>
  </r>
  <r>
    <s v="PO-00743"/>
    <x v="0"/>
    <x v="465"/>
    <m/>
    <x v="3"/>
    <x v="3"/>
    <n v="1172"/>
    <n v="85.76"/>
    <n v="81.430000000000007"/>
    <n v="25"/>
    <x v="0"/>
    <s v=""/>
    <x v="742"/>
    <n v="100510.72"/>
    <n v="5074.7599999999948"/>
    <n v="5.0489738805970096E-2"/>
    <n v="2.1331058020477817E-2"/>
    <s v="Pending"/>
    <s v="OK"/>
  </r>
  <r>
    <s v="PO-00744"/>
    <x v="1"/>
    <x v="180"/>
    <d v="2022-09-30T00:00:00"/>
    <x v="0"/>
    <x v="1"/>
    <n v="1621"/>
    <n v="75.680000000000007"/>
    <n v="73.78"/>
    <n v="226"/>
    <x v="1"/>
    <n v="19"/>
    <x v="743"/>
    <n v="122677.28000000001"/>
    <n v="3079.9000000000087"/>
    <n v="2.5105708245243198E-2"/>
    <n v="0.13942011104256632"/>
    <s v="Late"/>
    <s v="OK"/>
  </r>
  <r>
    <s v="PO-00745"/>
    <x v="0"/>
    <x v="342"/>
    <d v="2022-07-26T00:00:00"/>
    <x v="2"/>
    <x v="1"/>
    <n v="1027"/>
    <n v="73.349999999999994"/>
    <n v="65.42"/>
    <n v="24"/>
    <x v="1"/>
    <n v="2"/>
    <x v="744"/>
    <n v="75330.45"/>
    <n v="8144.1100000000006"/>
    <n v="0.10811179277436947"/>
    <n v="2.3369036027263874E-2"/>
    <s v="On Time"/>
    <s v="OK"/>
  </r>
  <r>
    <s v="PO-00746"/>
    <x v="3"/>
    <x v="439"/>
    <m/>
    <x v="3"/>
    <x v="1"/>
    <n v="1058"/>
    <n v="65.680000000000007"/>
    <n v="57.21"/>
    <n v="101"/>
    <x v="0"/>
    <s v=""/>
    <x v="745"/>
    <n v="69489.440000000002"/>
    <n v="8961.260000000002"/>
    <n v="0.12895858708891597"/>
    <n v="9.5463137996219277E-2"/>
    <s v="Missing Delivery Date"/>
    <s v="Missing Delivery Date"/>
  </r>
  <r>
    <s v="PO-00747"/>
    <x v="3"/>
    <x v="279"/>
    <d v="2023-10-05T00:00:00"/>
    <x v="2"/>
    <x v="1"/>
    <n v="145"/>
    <n v="85.52"/>
    <n v="81.86"/>
    <n v="11"/>
    <x v="1"/>
    <n v="6"/>
    <x v="746"/>
    <n v="12400.4"/>
    <n v="530.69999999999891"/>
    <n v="4.2797006548175781E-2"/>
    <n v="7.586206896551724E-2"/>
    <s v="On Time"/>
    <s v="OK"/>
  </r>
  <r>
    <s v="PO-00748"/>
    <x v="4"/>
    <x v="120"/>
    <m/>
    <x v="0"/>
    <x v="1"/>
    <n v="1737"/>
    <n v="24.88"/>
    <n v="24.28"/>
    <n v="46"/>
    <x v="0"/>
    <s v=""/>
    <x v="747"/>
    <n v="43216.56"/>
    <n v="1042.1999999999971"/>
    <n v="2.4115755627009579E-2"/>
    <n v="2.6482440990213012E-2"/>
    <s v="Missing Delivery Date"/>
    <s v="Missing Delivery Date"/>
  </r>
  <r>
    <s v="PO-00749"/>
    <x v="2"/>
    <x v="272"/>
    <d v="2022-09-15T00:00:00"/>
    <x v="5"/>
    <x v="1"/>
    <n v="712"/>
    <n v="92.85"/>
    <n v="89.39"/>
    <n v="43"/>
    <x v="0"/>
    <n v="13"/>
    <x v="748"/>
    <n v="66109.2"/>
    <n v="2463.5199999999968"/>
    <n v="3.7264404954227198E-2"/>
    <n v="6.0393258426966294E-2"/>
    <s v="Late"/>
    <s v="OK"/>
  </r>
  <r>
    <s v="PO-00750"/>
    <x v="4"/>
    <x v="466"/>
    <d v="2022-05-16T00:00:00"/>
    <x v="5"/>
    <x v="1"/>
    <n v="1263"/>
    <n v="90.24"/>
    <n v="86.84"/>
    <n v="28"/>
    <x v="0"/>
    <n v="6"/>
    <x v="749"/>
    <n v="113973.12"/>
    <n v="4294.1999999999971"/>
    <n v="3.7677304964538985E-2"/>
    <n v="2.2169437846397466E-2"/>
    <s v="On Time"/>
    <s v="OK"/>
  </r>
  <r>
    <s v="PO-00751"/>
    <x v="1"/>
    <x v="202"/>
    <m/>
    <x v="5"/>
    <x v="1"/>
    <n v="1809"/>
    <n v="13.58"/>
    <n v="12.68"/>
    <m/>
    <x v="1"/>
    <s v=""/>
    <x v="750"/>
    <n v="24566.22"/>
    <n v="1628.1000000000022"/>
    <n v="6.627393225331378E-2"/>
    <n v="0"/>
    <s v="Missing Delivery Date"/>
    <s v="Missing Delivery Date"/>
  </r>
  <r>
    <s v="PO-00752"/>
    <x v="3"/>
    <x v="197"/>
    <m/>
    <x v="5"/>
    <x v="0"/>
    <n v="86"/>
    <n v="93.6"/>
    <n v="88.22"/>
    <n v="5"/>
    <x v="0"/>
    <s v=""/>
    <x v="751"/>
    <n v="8049.5999999999995"/>
    <n v="462.67999999999938"/>
    <n v="5.7478632478632406E-2"/>
    <n v="5.8139534883720929E-2"/>
    <s v="Cancelled"/>
    <s v="OK"/>
  </r>
  <r>
    <s v="PO-00753"/>
    <x v="4"/>
    <x v="132"/>
    <m/>
    <x v="1"/>
    <x v="1"/>
    <n v="1853"/>
    <n v="21.92"/>
    <n v="20.72"/>
    <m/>
    <x v="0"/>
    <s v=""/>
    <x v="752"/>
    <n v="40617.760000000002"/>
    <n v="2223.6000000000058"/>
    <n v="5.4744525547445397E-2"/>
    <n v="0"/>
    <s v="Missing Delivery Date"/>
    <s v="Missing Delivery Date"/>
  </r>
  <r>
    <s v="PO-00754"/>
    <x v="3"/>
    <x v="451"/>
    <d v="2023-08-02T00:00:00"/>
    <x v="5"/>
    <x v="1"/>
    <n v="1442"/>
    <n v="43.98"/>
    <n v="41.82"/>
    <n v="140"/>
    <x v="1"/>
    <n v="1"/>
    <x v="753"/>
    <n v="63419.159999999996"/>
    <n v="3114.7199999999939"/>
    <n v="4.9113233287858021E-2"/>
    <n v="9.7087378640776698E-2"/>
    <s v="On Time"/>
    <s v="OK"/>
  </r>
  <r>
    <s v="PO-00755"/>
    <x v="3"/>
    <x v="16"/>
    <d v="2022-09-01T00:00:00"/>
    <x v="0"/>
    <x v="3"/>
    <n v="1768"/>
    <n v="79.61"/>
    <n v="74.97"/>
    <n v="207"/>
    <x v="1"/>
    <n v="20"/>
    <x v="754"/>
    <n v="140750.48000000001"/>
    <n v="8203.5200000000186"/>
    <n v="5.8284135158899762E-2"/>
    <n v="0.11708144796380091"/>
    <s v="Pending"/>
    <s v="Status-Date Conflict"/>
  </r>
  <r>
    <s v="PO-00756"/>
    <x v="3"/>
    <x v="384"/>
    <d v="2023-05-03T00:00:00"/>
    <x v="5"/>
    <x v="2"/>
    <n v="1598"/>
    <n v="26.3"/>
    <n v="26.03"/>
    <n v="154"/>
    <x v="1"/>
    <n v="11"/>
    <x v="755"/>
    <n v="42027.4"/>
    <n v="431.45999999999913"/>
    <n v="1.026615969581747E-2"/>
    <n v="9.6370463078848556E-2"/>
    <s v="Partially Delivered"/>
    <s v="Status-Date Conflict"/>
  </r>
  <r>
    <s v="PO-00757"/>
    <x v="0"/>
    <x v="467"/>
    <d v="2024-01-05T00:00:00"/>
    <x v="1"/>
    <x v="0"/>
    <n v="328"/>
    <n v="93.23"/>
    <n v="82.63"/>
    <n v="6"/>
    <x v="0"/>
    <n v="18"/>
    <x v="756"/>
    <n v="30579.440000000002"/>
    <n v="3476.8000000000029"/>
    <n v="0.11369730773356225"/>
    <n v="1.8292682926829267E-2"/>
    <s v="Cancelled"/>
    <s v="Status-Date Conflict"/>
  </r>
  <r>
    <s v="PO-00758"/>
    <x v="4"/>
    <x v="468"/>
    <d v="2022-09-25T00:00:00"/>
    <x v="2"/>
    <x v="1"/>
    <n v="266"/>
    <n v="88.29"/>
    <n v="80.22"/>
    <n v="4"/>
    <x v="0"/>
    <n v="5"/>
    <x v="757"/>
    <n v="23485.140000000003"/>
    <n v="2146.6200000000026"/>
    <n v="9.1403329935440134E-2"/>
    <n v="1.5037593984962405E-2"/>
    <s v="On Time"/>
    <s v="OK"/>
  </r>
  <r>
    <s v="PO-00759"/>
    <x v="2"/>
    <x v="469"/>
    <d v="2023-01-28T00:00:00"/>
    <x v="3"/>
    <x v="1"/>
    <n v="916"/>
    <n v="59.01"/>
    <n v="53.37"/>
    <n v="47"/>
    <x v="0"/>
    <n v="15"/>
    <x v="758"/>
    <n v="54053.159999999996"/>
    <n v="5166.239999999998"/>
    <n v="9.5577020843924734E-2"/>
    <n v="5.1310043668122272E-2"/>
    <s v="Late"/>
    <s v="OK"/>
  </r>
  <r>
    <s v="PO-00760"/>
    <x v="4"/>
    <x v="470"/>
    <d v="2022-06-25T00:00:00"/>
    <x v="2"/>
    <x v="0"/>
    <n v="922"/>
    <n v="10.84"/>
    <n v="9.27"/>
    <n v="29"/>
    <x v="0"/>
    <n v="4"/>
    <x v="759"/>
    <n v="9994.48"/>
    <n v="1447.5399999999991"/>
    <n v="0.14483394833948329"/>
    <n v="3.1453362255965296E-2"/>
    <s v="Cancelled"/>
    <s v="Status-Date Conflict"/>
  </r>
  <r>
    <s v="PO-00761"/>
    <x v="2"/>
    <x v="358"/>
    <d v="2023-09-28T00:00:00"/>
    <x v="2"/>
    <x v="1"/>
    <n v="1871"/>
    <n v="39.42"/>
    <n v="37.409999999999997"/>
    <n v="101"/>
    <x v="1"/>
    <n v="15"/>
    <x v="760"/>
    <n v="73754.820000000007"/>
    <n v="3760.7100000000064"/>
    <n v="5.0989345509893536E-2"/>
    <n v="5.3981827899518976E-2"/>
    <s v="Late"/>
    <s v="OK"/>
  </r>
  <r>
    <s v="PO-00762"/>
    <x v="4"/>
    <x v="169"/>
    <d v="2023-09-20T00:00:00"/>
    <x v="3"/>
    <x v="1"/>
    <n v="1346"/>
    <n v="72.08"/>
    <n v="67.040000000000006"/>
    <n v="38"/>
    <x v="0"/>
    <n v="6"/>
    <x v="761"/>
    <n v="97019.68"/>
    <n v="6783.839999999982"/>
    <n v="6.9922308546059755E-2"/>
    <n v="2.8231797919762259E-2"/>
    <s v="On Time"/>
    <s v="OK"/>
  </r>
  <r>
    <s v="PO-00763"/>
    <x v="4"/>
    <x v="132"/>
    <d v="2022-05-09T00:00:00"/>
    <x v="5"/>
    <x v="1"/>
    <n v="1954"/>
    <n v="99.78"/>
    <n v="87.47"/>
    <n v="57"/>
    <x v="0"/>
    <n v="11"/>
    <x v="762"/>
    <n v="194970.12"/>
    <n v="24053.739999999991"/>
    <n v="0.12337141711765881"/>
    <n v="2.9170931422722621E-2"/>
    <s v="Late"/>
    <s v="OK"/>
  </r>
  <r>
    <s v="PO-00764"/>
    <x v="3"/>
    <x v="80"/>
    <d v="2022-07-06T00:00:00"/>
    <x v="5"/>
    <x v="1"/>
    <n v="111"/>
    <n v="68.53"/>
    <n v="65.22"/>
    <n v="11"/>
    <x v="0"/>
    <n v="19"/>
    <x v="763"/>
    <n v="7606.83"/>
    <n v="367.40999999999985"/>
    <n v="4.8300014592149408E-2"/>
    <n v="9.90990990990991E-2"/>
    <s v="Late"/>
    <s v="OK"/>
  </r>
  <r>
    <s v="PO-00765"/>
    <x v="2"/>
    <x v="471"/>
    <d v="2022-11-22T00:00:00"/>
    <x v="0"/>
    <x v="3"/>
    <n v="645"/>
    <n v="35.049999999999997"/>
    <n v="30.88"/>
    <n v="27"/>
    <x v="0"/>
    <n v="7"/>
    <x v="764"/>
    <n v="22607.249999999996"/>
    <n v="2689.6499999999978"/>
    <n v="0.11897289586305271"/>
    <n v="4.1860465116279069E-2"/>
    <s v="Pending"/>
    <s v="Status-Date Conflict"/>
  </r>
  <r>
    <s v="PO-00766"/>
    <x v="2"/>
    <x v="337"/>
    <d v="2022-05-04T00:00:00"/>
    <x v="5"/>
    <x v="0"/>
    <n v="1953"/>
    <n v="68.069999999999993"/>
    <n v="62.95"/>
    <n v="87"/>
    <x v="0"/>
    <n v="13"/>
    <x v="765"/>
    <n v="132940.71"/>
    <n v="9999.359999999986"/>
    <n v="7.5216688702805831E-2"/>
    <n v="4.4546850998463901E-2"/>
    <s v="Cancelled"/>
    <s v="Status-Date Conflict"/>
  </r>
  <r>
    <s v="PO-00767"/>
    <x v="2"/>
    <x v="262"/>
    <d v="2023-09-02T00:00:00"/>
    <x v="5"/>
    <x v="1"/>
    <n v="778"/>
    <n v="64.17"/>
    <n v="61.6"/>
    <n v="47"/>
    <x v="0"/>
    <n v="17"/>
    <x v="766"/>
    <n v="49924.26"/>
    <n v="1999.4599999999991"/>
    <n v="4.004986753934859E-2"/>
    <n v="6.0411311053984576E-2"/>
    <s v="Late"/>
    <s v="OK"/>
  </r>
  <r>
    <s v="PO-00768"/>
    <x v="4"/>
    <x v="472"/>
    <d v="2022-02-09T00:00:00"/>
    <x v="0"/>
    <x v="1"/>
    <n v="1415"/>
    <n v="80.19"/>
    <n v="78.34"/>
    <m/>
    <x v="0"/>
    <n v="13"/>
    <x v="767"/>
    <n v="113468.84999999999"/>
    <n v="2617.7499999999854"/>
    <n v="2.3070208255393312E-2"/>
    <n v="0"/>
    <s v="Late"/>
    <s v="OK"/>
  </r>
  <r>
    <s v="PO-00769"/>
    <x v="2"/>
    <x v="174"/>
    <d v="2022-11-22T00:00:00"/>
    <x v="3"/>
    <x v="1"/>
    <n v="446"/>
    <n v="20.61"/>
    <n v="19.46"/>
    <n v="14"/>
    <x v="0"/>
    <n v="6"/>
    <x v="768"/>
    <n v="9192.06"/>
    <n v="512.89999999999964"/>
    <n v="5.5798156234837422E-2"/>
    <n v="3.1390134529147982E-2"/>
    <s v="On Time"/>
    <s v="OK"/>
  </r>
  <r>
    <s v="PO-00770"/>
    <x v="4"/>
    <x v="399"/>
    <m/>
    <x v="0"/>
    <x v="1"/>
    <n v="748"/>
    <n v="85.95"/>
    <n v="79.16"/>
    <n v="32"/>
    <x v="0"/>
    <s v=""/>
    <x v="769"/>
    <n v="64290.6"/>
    <n v="5078.9199999999983"/>
    <n v="7.8999418266433946E-2"/>
    <n v="4.2780748663101602E-2"/>
    <s v="Missing Delivery Date"/>
    <s v="Missing Delivery Date"/>
  </r>
  <r>
    <s v="PO-00771"/>
    <x v="0"/>
    <x v="373"/>
    <d v="2023-12-03T00:00:00"/>
    <x v="5"/>
    <x v="3"/>
    <n v="1092"/>
    <n v="65.17"/>
    <n v="63.11"/>
    <n v="21"/>
    <x v="0"/>
    <n v="8"/>
    <x v="770"/>
    <n v="71165.64"/>
    <n v="2249.5200000000041"/>
    <n v="3.1609636335737358E-2"/>
    <n v="1.9230769230769232E-2"/>
    <s v="Pending"/>
    <s v="Status-Date Conflict"/>
  </r>
  <r>
    <s v="PO-00772"/>
    <x v="3"/>
    <x v="473"/>
    <d v="2023-02-02T00:00:00"/>
    <x v="5"/>
    <x v="1"/>
    <n v="226"/>
    <n v="102.47"/>
    <n v="99.16"/>
    <n v="28"/>
    <x v="0"/>
    <n v="13"/>
    <x v="771"/>
    <n v="23158.22"/>
    <n v="748.06000000000131"/>
    <n v="3.2302137210891049E-2"/>
    <n v="0.12389380530973451"/>
    <s v="Late"/>
    <s v="OK"/>
  </r>
  <r>
    <s v="PO-00773"/>
    <x v="1"/>
    <x v="474"/>
    <d v="2023-02-20T00:00:00"/>
    <x v="5"/>
    <x v="1"/>
    <n v="1685"/>
    <n v="43.42"/>
    <n v="42.24"/>
    <n v="262"/>
    <x v="0"/>
    <n v="9"/>
    <x v="772"/>
    <n v="73162.7"/>
    <n v="1988.2999999999884"/>
    <n v="2.7176416397973125E-2"/>
    <n v="0.15548961424332344"/>
    <s v="On Time"/>
    <s v="OK"/>
  </r>
  <r>
    <s v="PO-00774"/>
    <x v="0"/>
    <x v="22"/>
    <m/>
    <x v="0"/>
    <x v="1"/>
    <n v="445"/>
    <n v="68.94"/>
    <n v="60.35"/>
    <n v="7"/>
    <x v="0"/>
    <s v=""/>
    <x v="773"/>
    <n v="30678.3"/>
    <n v="3822.5499999999993"/>
    <n v="0.12460110240789089"/>
    <n v="1.5730337078651686E-2"/>
    <s v="Missing Delivery Date"/>
    <s v="Missing Delivery Date"/>
  </r>
  <r>
    <s v="PO-00775"/>
    <x v="2"/>
    <x v="225"/>
    <d v="2022-04-07T00:00:00"/>
    <x v="3"/>
    <x v="1"/>
    <n v="494"/>
    <n v="94.82"/>
    <n v="81.89"/>
    <n v="29"/>
    <x v="0"/>
    <n v="19"/>
    <x v="774"/>
    <n v="46841.079999999994"/>
    <n v="6387.419999999991"/>
    <n v="0.13636363636363619"/>
    <n v="5.8704453441295545E-2"/>
    <s v="Late"/>
    <s v="OK"/>
  </r>
  <r>
    <s v="PO-00776"/>
    <x v="3"/>
    <x v="450"/>
    <d v="2023-09-11T00:00:00"/>
    <x v="1"/>
    <x v="1"/>
    <n v="1306"/>
    <n v="21.05"/>
    <n v="18.27"/>
    <n v="128"/>
    <x v="0"/>
    <n v="12"/>
    <x v="775"/>
    <n v="27491.3"/>
    <n v="3630.6800000000003"/>
    <n v="0.13206650831353919"/>
    <n v="9.8009188361408886E-2"/>
    <s v="Late"/>
    <s v="OK"/>
  </r>
  <r>
    <s v="PO-00777"/>
    <x v="3"/>
    <x v="318"/>
    <d v="2023-12-11T00:00:00"/>
    <x v="0"/>
    <x v="1"/>
    <n v="1988"/>
    <n v="105.2"/>
    <n v="93.23"/>
    <n v="187"/>
    <x v="0"/>
    <n v="2"/>
    <x v="776"/>
    <n v="209137.6"/>
    <n v="23796.359999999986"/>
    <n v="0.11378326996197712"/>
    <n v="9.406438631790745E-2"/>
    <s v="On Time"/>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D5241B-12F9-453F-BD78-3C9FC5CE3E8E}" name="PivotTable11" cacheId="13" applyNumberFormats="0" applyBorderFormats="0" applyFontFormats="0" applyPatternFormats="0" applyAlignmentFormats="0" applyWidthHeightFormats="1" dataCaption="Values" updatedVersion="8" minRefreshableVersion="5" itemPrintTitles="1" createdVersion="8" indent="0" multipleFieldFilters="0" chartFormat="6" rowHeaderCaption="Supplier">
  <location ref="B99:H105" firstHeaderRow="0" firstDataRow="1" firstDataCol="1"/>
  <pivotFields count="21">
    <pivotField dataField="1" showAll="0"/>
    <pivotField axis="axisRow" showAll="0">
      <items count="6">
        <item x="0"/>
        <item x="3"/>
        <item x="1"/>
        <item x="4"/>
        <item x="2"/>
        <item t="default"/>
      </items>
    </pivotField>
    <pivotField numFmtId="14" showAll="0">
      <items count="476">
        <item x="148"/>
        <item x="362"/>
        <item x="237"/>
        <item x="137"/>
        <item x="404"/>
        <item x="30"/>
        <item x="187"/>
        <item x="292"/>
        <item x="278"/>
        <item x="131"/>
        <item x="231"/>
        <item x="152"/>
        <item x="439"/>
        <item x="183"/>
        <item x="346"/>
        <item x="2"/>
        <item x="472"/>
        <item x="20"/>
        <item x="353"/>
        <item x="445"/>
        <item x="14"/>
        <item x="465"/>
        <item x="13"/>
        <item x="320"/>
        <item x="339"/>
        <item x="264"/>
        <item x="464"/>
        <item x="325"/>
        <item x="44"/>
        <item x="309"/>
        <item x="59"/>
        <item x="394"/>
        <item x="118"/>
        <item x="228"/>
        <item x="90"/>
        <item x="462"/>
        <item x="212"/>
        <item x="250"/>
        <item x="156"/>
        <item x="191"/>
        <item x="217"/>
        <item x="436"/>
        <item x="124"/>
        <item x="95"/>
        <item x="192"/>
        <item x="160"/>
        <item x="58"/>
        <item x="188"/>
        <item x="76"/>
        <item x="277"/>
        <item x="282"/>
        <item x="225"/>
        <item x="426"/>
        <item x="49"/>
        <item x="63"/>
        <item x="254"/>
        <item x="266"/>
        <item x="453"/>
        <item x="386"/>
        <item x="158"/>
        <item x="10"/>
        <item x="117"/>
        <item x="37"/>
        <item x="15"/>
        <item x="206"/>
        <item x="39"/>
        <item x="216"/>
        <item x="281"/>
        <item x="64"/>
        <item x="7"/>
        <item x="329"/>
        <item x="296"/>
        <item x="141"/>
        <item x="299"/>
        <item x="337"/>
        <item x="220"/>
        <item x="119"/>
        <item x="1"/>
        <item x="132"/>
        <item x="298"/>
        <item x="260"/>
        <item x="179"/>
        <item x="410"/>
        <item x="47"/>
        <item x="162"/>
        <item x="466"/>
        <item x="324"/>
        <item x="163"/>
        <item x="311"/>
        <item x="273"/>
        <item x="199"/>
        <item x="412"/>
        <item x="297"/>
        <item x="454"/>
        <item x="114"/>
        <item x="6"/>
        <item x="222"/>
        <item x="105"/>
        <item x="393"/>
        <item x="322"/>
        <item x="319"/>
        <item x="428"/>
        <item x="120"/>
        <item x="244"/>
        <item x="34"/>
        <item x="136"/>
        <item x="419"/>
        <item x="31"/>
        <item x="145"/>
        <item x="68"/>
        <item x="80"/>
        <item x="236"/>
        <item x="167"/>
        <item x="233"/>
        <item x="470"/>
        <item x="385"/>
        <item x="78"/>
        <item x="374"/>
        <item x="406"/>
        <item x="332"/>
        <item x="139"/>
        <item x="334"/>
        <item x="456"/>
        <item x="223"/>
        <item x="255"/>
        <item x="205"/>
        <item x="56"/>
        <item x="347"/>
        <item x="400"/>
        <item x="364"/>
        <item x="22"/>
        <item x="342"/>
        <item x="172"/>
        <item x="305"/>
        <item x="271"/>
        <item x="437"/>
        <item x="71"/>
        <item x="303"/>
        <item x="96"/>
        <item x="99"/>
        <item x="235"/>
        <item x="198"/>
        <item x="35"/>
        <item x="246"/>
        <item x="16"/>
        <item x="87"/>
        <item x="26"/>
        <item x="341"/>
        <item x="5"/>
        <item x="463"/>
        <item x="181"/>
        <item x="61"/>
        <item x="91"/>
        <item x="186"/>
        <item x="429"/>
        <item x="17"/>
        <item x="258"/>
        <item x="232"/>
        <item x="195"/>
        <item x="272"/>
        <item x="155"/>
        <item x="157"/>
        <item x="203"/>
        <item x="403"/>
        <item x="4"/>
        <item x="107"/>
        <item x="180"/>
        <item x="221"/>
        <item x="224"/>
        <item x="129"/>
        <item x="461"/>
        <item x="360"/>
        <item x="468"/>
        <item x="421"/>
        <item x="457"/>
        <item x="270"/>
        <item x="313"/>
        <item x="109"/>
        <item x="43"/>
        <item x="106"/>
        <item x="73"/>
        <item x="94"/>
        <item x="83"/>
        <item x="300"/>
        <item x="444"/>
        <item x="3"/>
        <item x="308"/>
        <item x="29"/>
        <item x="196"/>
        <item x="301"/>
        <item x="387"/>
        <item x="287"/>
        <item x="240"/>
        <item x="381"/>
        <item x="62"/>
        <item x="51"/>
        <item x="371"/>
        <item x="245"/>
        <item x="143"/>
        <item x="294"/>
        <item x="275"/>
        <item x="377"/>
        <item x="290"/>
        <item x="380"/>
        <item x="345"/>
        <item x="154"/>
        <item x="326"/>
        <item x="368"/>
        <item x="392"/>
        <item x="471"/>
        <item x="174"/>
        <item x="249"/>
        <item x="98"/>
        <item x="92"/>
        <item x="414"/>
        <item x="427"/>
        <item x="383"/>
        <item x="150"/>
        <item x="89"/>
        <item x="370"/>
        <item x="458"/>
        <item x="348"/>
        <item x="193"/>
        <item x="352"/>
        <item x="335"/>
        <item x="310"/>
        <item x="390"/>
        <item x="36"/>
        <item x="459"/>
        <item x="182"/>
        <item x="219"/>
        <item x="33"/>
        <item x="304"/>
        <item x="41"/>
        <item x="356"/>
        <item x="285"/>
        <item x="344"/>
        <item x="349"/>
        <item x="440"/>
        <item x="209"/>
        <item x="70"/>
        <item x="327"/>
        <item x="40"/>
        <item x="54"/>
        <item x="153"/>
        <item x="365"/>
        <item x="67"/>
        <item x="469"/>
        <item x="286"/>
        <item x="69"/>
        <item x="144"/>
        <item x="473"/>
        <item x="48"/>
        <item x="82"/>
        <item x="38"/>
        <item x="126"/>
        <item x="338"/>
        <item x="430"/>
        <item x="401"/>
        <item x="125"/>
        <item x="438"/>
        <item x="238"/>
        <item x="449"/>
        <item x="102"/>
        <item x="474"/>
        <item x="113"/>
        <item x="350"/>
        <item x="93"/>
        <item x="218"/>
        <item x="259"/>
        <item x="447"/>
        <item x="378"/>
        <item x="204"/>
        <item x="433"/>
        <item x="369"/>
        <item x="210"/>
        <item x="336"/>
        <item x="333"/>
        <item x="397"/>
        <item x="435"/>
        <item x="25"/>
        <item x="372"/>
        <item x="460"/>
        <item x="12"/>
        <item x="170"/>
        <item x="405"/>
        <item x="417"/>
        <item x="317"/>
        <item x="111"/>
        <item x="323"/>
        <item x="208"/>
        <item x="355"/>
        <item x="135"/>
        <item x="357"/>
        <item x="176"/>
        <item x="425"/>
        <item x="314"/>
        <item x="226"/>
        <item x="418"/>
        <item x="27"/>
        <item x="420"/>
        <item x="178"/>
        <item x="65"/>
        <item x="239"/>
        <item x="396"/>
        <item x="411"/>
        <item x="276"/>
        <item x="104"/>
        <item x="45"/>
        <item x="343"/>
        <item x="455"/>
        <item x="81"/>
        <item x="409"/>
        <item x="384"/>
        <item x="434"/>
        <item x="211"/>
        <item x="127"/>
        <item x="340"/>
        <item x="202"/>
        <item x="165"/>
        <item x="251"/>
        <item x="234"/>
        <item x="423"/>
        <item x="159"/>
        <item x="243"/>
        <item x="443"/>
        <item x="151"/>
        <item x="116"/>
        <item x="402"/>
        <item x="101"/>
        <item x="138"/>
        <item x="252"/>
        <item x="416"/>
        <item x="18"/>
        <item x="284"/>
        <item x="140"/>
        <item x="253"/>
        <item x="115"/>
        <item x="359"/>
        <item x="194"/>
        <item x="388"/>
        <item x="177"/>
        <item x="408"/>
        <item x="363"/>
        <item x="422"/>
        <item x="269"/>
        <item x="168"/>
        <item x="128"/>
        <item x="147"/>
        <item x="161"/>
        <item x="79"/>
        <item x="46"/>
        <item x="283"/>
        <item x="108"/>
        <item x="146"/>
        <item x="230"/>
        <item x="248"/>
        <item x="288"/>
        <item x="9"/>
        <item x="441"/>
        <item x="379"/>
        <item x="166"/>
        <item x="227"/>
        <item x="315"/>
        <item x="50"/>
        <item x="130"/>
        <item x="185"/>
        <item x="242"/>
        <item x="86"/>
        <item x="413"/>
        <item x="330"/>
        <item x="21"/>
        <item x="280"/>
        <item x="451"/>
        <item x="268"/>
        <item x="97"/>
        <item x="376"/>
        <item x="261"/>
        <item x="200"/>
        <item x="399"/>
        <item x="201"/>
        <item x="55"/>
        <item x="262"/>
        <item x="247"/>
        <item x="354"/>
        <item x="321"/>
        <item x="112"/>
        <item x="110"/>
        <item x="184"/>
        <item x="28"/>
        <item x="11"/>
        <item x="450"/>
        <item x="263"/>
        <item x="256"/>
        <item x="123"/>
        <item x="149"/>
        <item x="19"/>
        <item x="442"/>
        <item x="42"/>
        <item x="302"/>
        <item x="358"/>
        <item x="169"/>
        <item x="77"/>
        <item x="395"/>
        <item x="291"/>
        <item x="415"/>
        <item x="375"/>
        <item x="53"/>
        <item x="265"/>
        <item x="331"/>
        <item x="279"/>
        <item x="448"/>
        <item x="367"/>
        <item x="142"/>
        <item x="424"/>
        <item x="121"/>
        <item x="52"/>
        <item x="398"/>
        <item x="190"/>
        <item x="389"/>
        <item x="307"/>
        <item x="66"/>
        <item x="312"/>
        <item x="0"/>
        <item x="84"/>
        <item x="134"/>
        <item x="103"/>
        <item x="274"/>
        <item x="215"/>
        <item x="75"/>
        <item x="23"/>
        <item x="229"/>
        <item x="214"/>
        <item x="382"/>
        <item x="100"/>
        <item x="267"/>
        <item x="207"/>
        <item x="164"/>
        <item x="60"/>
        <item x="452"/>
        <item x="295"/>
        <item x="366"/>
        <item x="328"/>
        <item x="293"/>
        <item x="446"/>
        <item x="197"/>
        <item x="72"/>
        <item x="175"/>
        <item x="391"/>
        <item x="213"/>
        <item x="257"/>
        <item x="8"/>
        <item x="373"/>
        <item x="351"/>
        <item x="122"/>
        <item x="133"/>
        <item x="74"/>
        <item x="88"/>
        <item x="306"/>
        <item x="85"/>
        <item x="171"/>
        <item x="318"/>
        <item x="431"/>
        <item x="407"/>
        <item x="241"/>
        <item x="32"/>
        <item x="467"/>
        <item x="24"/>
        <item x="289"/>
        <item x="57"/>
        <item x="316"/>
        <item x="432"/>
        <item x="189"/>
        <item x="361"/>
        <item x="173"/>
        <item t="default"/>
      </items>
    </pivotField>
    <pivotField showAll="0"/>
    <pivotField showAll="0"/>
    <pivotField showAll="0"/>
    <pivotField dataField="1" showAll="0"/>
    <pivotField numFmtId="44" showAll="0"/>
    <pivotField numFmtId="44" showAll="0"/>
    <pivotField dataField="1" showAll="0"/>
    <pivotField showAll="0"/>
    <pivotField dataField="1" showAll="0"/>
    <pivotField dataField="1" numFmtId="44" showAll="0"/>
    <pivotField numFmtId="44" showAll="0"/>
    <pivotField dataField="1" numFmtId="44" showAll="0"/>
    <pivotField numFmtId="9"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6">
    <i>
      <x/>
    </i>
    <i>
      <x v="1"/>
    </i>
    <i>
      <x v="2"/>
    </i>
    <i>
      <x v="3"/>
    </i>
    <i>
      <x v="4"/>
    </i>
    <i t="grand">
      <x/>
    </i>
  </rowItems>
  <colFields count="1">
    <field x="-2"/>
  </colFields>
  <colItems count="6">
    <i>
      <x/>
    </i>
    <i i="1">
      <x v="1"/>
    </i>
    <i i="2">
      <x v="2"/>
    </i>
    <i i="3">
      <x v="3"/>
    </i>
    <i i="4">
      <x v="4"/>
    </i>
    <i i="5">
      <x v="5"/>
    </i>
  </colItems>
  <dataFields count="6">
    <dataField name="Average of Lead_Time" fld="11" subtotal="average" baseField="0" baseItem="0"/>
    <dataField name="Orders" fld="0" subtotal="count" baseField="0" baseItem="0"/>
    <dataField name="Sum of Cost_Savings" fld="14" baseField="0" baseItem="0" numFmtId="44"/>
    <dataField name="Sum of Quantity" fld="6" baseField="0" baseItem="0"/>
    <dataField name="Sum of Defective_Units" fld="9" baseField="0" baseItem="0"/>
    <dataField name="Sum of  Total_Spend " fld="12" baseField="0" baseItem="0" numFmtId="44"/>
  </dataFields>
  <formats count="24">
    <format dxfId="282">
      <pivotArea type="all" dataOnly="0" outline="0" fieldPosition="0"/>
    </format>
    <format dxfId="283">
      <pivotArea outline="0" collapsedLevelsAreSubtotals="1" fieldPosition="0"/>
    </format>
    <format dxfId="284">
      <pivotArea field="1" type="button" dataOnly="0" labelOnly="1" outline="0" axis="axisRow" fieldPosition="0"/>
    </format>
    <format dxfId="285">
      <pivotArea dataOnly="0" labelOnly="1" fieldPosition="0">
        <references count="1">
          <reference field="1" count="0"/>
        </references>
      </pivotArea>
    </format>
    <format dxfId="286">
      <pivotArea dataOnly="0" labelOnly="1" grandRow="1" outline="0" fieldPosition="0"/>
    </format>
    <format dxfId="287">
      <pivotArea dataOnly="0" labelOnly="1" outline="0" fieldPosition="0">
        <references count="1">
          <reference field="4294967294" count="6">
            <x v="0"/>
            <x v="1"/>
            <x v="2"/>
            <x v="3"/>
            <x v="4"/>
            <x v="5"/>
          </reference>
        </references>
      </pivotArea>
    </format>
    <format dxfId="288">
      <pivotArea type="all" dataOnly="0" outline="0" fieldPosition="0"/>
    </format>
    <format dxfId="289">
      <pivotArea outline="0" collapsedLevelsAreSubtotals="1" fieldPosition="0"/>
    </format>
    <format dxfId="290">
      <pivotArea field="1" type="button" dataOnly="0" labelOnly="1" outline="0" axis="axisRow" fieldPosition="0"/>
    </format>
    <format dxfId="291">
      <pivotArea dataOnly="0" labelOnly="1" fieldPosition="0">
        <references count="1">
          <reference field="1" count="0"/>
        </references>
      </pivotArea>
    </format>
    <format dxfId="292">
      <pivotArea dataOnly="0" labelOnly="1" grandRow="1" outline="0" fieldPosition="0"/>
    </format>
    <format dxfId="293">
      <pivotArea dataOnly="0" labelOnly="1" outline="0" fieldPosition="0">
        <references count="1">
          <reference field="4294967294" count="6">
            <x v="0"/>
            <x v="1"/>
            <x v="2"/>
            <x v="3"/>
            <x v="4"/>
            <x v="5"/>
          </reference>
        </references>
      </pivotArea>
    </format>
    <format dxfId="294">
      <pivotArea type="all" dataOnly="0" outline="0" fieldPosition="0"/>
    </format>
    <format dxfId="295">
      <pivotArea outline="0" collapsedLevelsAreSubtotals="1" fieldPosition="0"/>
    </format>
    <format dxfId="296">
      <pivotArea field="1" type="button" dataOnly="0" labelOnly="1" outline="0" axis="axisRow" fieldPosition="0"/>
    </format>
    <format dxfId="297">
      <pivotArea dataOnly="0" labelOnly="1" fieldPosition="0">
        <references count="1">
          <reference field="1" count="0"/>
        </references>
      </pivotArea>
    </format>
    <format dxfId="298">
      <pivotArea dataOnly="0" labelOnly="1" grandRow="1" outline="0" fieldPosition="0"/>
    </format>
    <format dxfId="299">
      <pivotArea dataOnly="0" labelOnly="1" outline="0" fieldPosition="0">
        <references count="1">
          <reference field="4294967294" count="6">
            <x v="0"/>
            <x v="1"/>
            <x v="2"/>
            <x v="3"/>
            <x v="4"/>
            <x v="5"/>
          </reference>
        </references>
      </pivotArea>
    </format>
    <format dxfId="275">
      <pivotArea type="all" dataOnly="0" outline="0" fieldPosition="0"/>
    </format>
    <format dxfId="268">
      <pivotArea outline="0" collapsedLevelsAreSubtotals="1" fieldPosition="0"/>
    </format>
    <format dxfId="267">
      <pivotArea field="1" type="button" dataOnly="0" labelOnly="1" outline="0" axis="axisRow" fieldPosition="0"/>
    </format>
    <format dxfId="266">
      <pivotArea dataOnly="0" labelOnly="1" fieldPosition="0">
        <references count="1">
          <reference field="1" count="0"/>
        </references>
      </pivotArea>
    </format>
    <format dxfId="265">
      <pivotArea dataOnly="0" labelOnly="1" grandRow="1" outline="0" fieldPosition="0"/>
    </format>
    <format dxfId="264">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87D514-0E88-4490-90F8-33FB9B256D7B}" name="PivotTable10" cacheId="6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3:C16" firstHeaderRow="0" firstDataRow="1" firstDataCol="1"/>
  <pivotFields count="4">
    <pivotField dataField="1" showAll="0"/>
    <pivotField dataField="1" showAll="0"/>
    <pivotField axis="axisRow" allDrilled="1" showAll="0" dataSourceSort="1">
      <items count="5">
        <item x="0" e="0"/>
        <item x="1" e="0"/>
        <item x="2" e="0"/>
        <item x="3" e="0"/>
        <item t="default"/>
      </items>
    </pivotField>
    <pivotField axis="axisRow" allDrilled="1" showAll="0" dataSourceSort="1" defaultAttributeDrillState="1">
      <items count="4">
        <item x="0"/>
        <item x="1"/>
        <item x="2"/>
        <item t="default"/>
      </items>
    </pivotField>
  </pivotFields>
  <rowFields count="2">
    <field x="3"/>
    <field x="2"/>
  </rowFields>
  <rowItems count="13">
    <i>
      <x/>
    </i>
    <i r="1">
      <x/>
    </i>
    <i r="1">
      <x v="1"/>
    </i>
    <i r="1">
      <x v="2"/>
    </i>
    <i r="1">
      <x v="3"/>
    </i>
    <i>
      <x v="1"/>
    </i>
    <i r="1">
      <x/>
    </i>
    <i r="1">
      <x v="1"/>
    </i>
    <i r="1">
      <x v="2"/>
    </i>
    <i r="1">
      <x v="3"/>
    </i>
    <i>
      <x v="2"/>
    </i>
    <i r="1">
      <x/>
    </i>
    <i t="grand">
      <x/>
    </i>
  </rowItems>
  <colFields count="1">
    <field x="-2"/>
  </colFields>
  <colItems count="2">
    <i>
      <x/>
    </i>
    <i i="1">
      <x v="1"/>
    </i>
  </colItems>
  <dataFields count="2">
    <dataField name="Average of Unit_Price" fld="0" subtotal="average" baseField="0" baseItem="0"/>
    <dataField name="Average of Negotiated_Price" fld="1" subtotal="average" baseField="0" baseItem="0"/>
  </dataFields>
  <formats count="9">
    <format dxfId="318">
      <pivotArea type="all" dataOnly="0" outline="0" fieldPosition="0"/>
    </format>
    <format dxfId="319">
      <pivotArea outline="0" collapsedLevelsAreSubtotals="1" fieldPosition="0"/>
    </format>
    <format dxfId="320">
      <pivotArea field="3" type="button" dataOnly="0" labelOnly="1" outline="0" axis="axisRow" fieldPosition="0"/>
    </format>
    <format dxfId="321">
      <pivotArea dataOnly="0" labelOnly="1" fieldPosition="0">
        <references count="1">
          <reference field="3" count="0"/>
        </references>
      </pivotArea>
    </format>
    <format dxfId="322">
      <pivotArea dataOnly="0" labelOnly="1" grandRow="1" outline="0" fieldPosition="0"/>
    </format>
    <format dxfId="323">
      <pivotArea dataOnly="0" labelOnly="1" fieldPosition="0">
        <references count="2">
          <reference field="2" count="0"/>
          <reference field="3" count="1" selected="0">
            <x v="0"/>
          </reference>
        </references>
      </pivotArea>
    </format>
    <format dxfId="324">
      <pivotArea dataOnly="0" labelOnly="1" fieldPosition="0">
        <references count="2">
          <reference field="2" count="0"/>
          <reference field="3" count="1" selected="0">
            <x v="1"/>
          </reference>
        </references>
      </pivotArea>
    </format>
    <format dxfId="325">
      <pivotArea dataOnly="0" labelOnly="1" fieldPosition="0">
        <references count="2">
          <reference field="2" count="1">
            <x v="0"/>
          </reference>
          <reference field="3" count="1" selected="0">
            <x v="2"/>
          </reference>
        </references>
      </pivotArea>
    </format>
    <format dxfId="326">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KPI Analysis Dataset.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9E67E8-8CCF-41A3-A74B-C1FADC66B69A}" name="PivotTable9" cacheId="13" applyNumberFormats="0" applyBorderFormats="0" applyFontFormats="0" applyPatternFormats="0" applyAlignmentFormats="0" applyWidthHeightFormats="1" dataCaption="Values" updatedVersion="8" minRefreshableVersion="5" itemPrintTitles="1" createdVersion="8" indent="0" multipleFieldFilters="0">
  <location ref="A37:C41" firstHeaderRow="0" firstDataRow="1" firstDataCol="1"/>
  <pivotFields count="21">
    <pivotField showAll="0"/>
    <pivotField showAll="0">
      <items count="6">
        <item x="0"/>
        <item x="3"/>
        <item x="1"/>
        <item x="4"/>
        <item x="2"/>
        <item t="default"/>
      </items>
    </pivotField>
    <pivotField numFmtId="14" showAll="0">
      <items count="476">
        <item x="148"/>
        <item x="362"/>
        <item x="237"/>
        <item x="137"/>
        <item x="404"/>
        <item x="30"/>
        <item x="187"/>
        <item x="292"/>
        <item x="278"/>
        <item x="131"/>
        <item x="231"/>
        <item x="152"/>
        <item x="439"/>
        <item x="183"/>
        <item x="346"/>
        <item x="2"/>
        <item x="472"/>
        <item x="20"/>
        <item x="353"/>
        <item x="445"/>
        <item x="14"/>
        <item x="465"/>
        <item x="13"/>
        <item x="320"/>
        <item x="339"/>
        <item x="264"/>
        <item x="464"/>
        <item x="325"/>
        <item x="44"/>
        <item x="309"/>
        <item x="59"/>
        <item x="394"/>
        <item x="118"/>
        <item x="228"/>
        <item x="90"/>
        <item x="462"/>
        <item x="212"/>
        <item x="250"/>
        <item x="156"/>
        <item x="191"/>
        <item x="217"/>
        <item x="436"/>
        <item x="124"/>
        <item x="95"/>
        <item x="192"/>
        <item x="160"/>
        <item x="58"/>
        <item x="188"/>
        <item x="76"/>
        <item x="277"/>
        <item x="282"/>
        <item x="225"/>
        <item x="426"/>
        <item x="49"/>
        <item x="63"/>
        <item x="254"/>
        <item x="266"/>
        <item x="453"/>
        <item x="386"/>
        <item x="158"/>
        <item x="10"/>
        <item x="117"/>
        <item x="37"/>
        <item x="15"/>
        <item x="206"/>
        <item x="39"/>
        <item x="216"/>
        <item x="281"/>
        <item x="64"/>
        <item x="7"/>
        <item x="329"/>
        <item x="296"/>
        <item x="141"/>
        <item x="299"/>
        <item x="337"/>
        <item x="220"/>
        <item x="119"/>
        <item x="1"/>
        <item x="132"/>
        <item x="298"/>
        <item x="260"/>
        <item x="179"/>
        <item x="410"/>
        <item x="47"/>
        <item x="162"/>
        <item x="466"/>
        <item x="324"/>
        <item x="163"/>
        <item x="311"/>
        <item x="273"/>
        <item x="199"/>
        <item x="412"/>
        <item x="297"/>
        <item x="454"/>
        <item x="114"/>
        <item x="6"/>
        <item x="222"/>
        <item x="105"/>
        <item x="393"/>
        <item x="322"/>
        <item x="319"/>
        <item x="428"/>
        <item x="120"/>
        <item x="244"/>
        <item x="34"/>
        <item x="136"/>
        <item x="419"/>
        <item x="31"/>
        <item x="145"/>
        <item x="68"/>
        <item x="80"/>
        <item x="236"/>
        <item x="167"/>
        <item x="233"/>
        <item x="470"/>
        <item x="385"/>
        <item x="78"/>
        <item x="374"/>
        <item x="406"/>
        <item x="332"/>
        <item x="139"/>
        <item x="334"/>
        <item x="456"/>
        <item x="223"/>
        <item x="255"/>
        <item x="205"/>
        <item x="56"/>
        <item x="347"/>
        <item x="400"/>
        <item x="364"/>
        <item x="22"/>
        <item x="342"/>
        <item x="172"/>
        <item x="305"/>
        <item x="271"/>
        <item x="437"/>
        <item x="71"/>
        <item x="303"/>
        <item x="96"/>
        <item x="99"/>
        <item x="235"/>
        <item x="198"/>
        <item x="35"/>
        <item x="246"/>
        <item x="16"/>
        <item x="87"/>
        <item x="26"/>
        <item x="341"/>
        <item x="5"/>
        <item x="463"/>
        <item x="181"/>
        <item x="61"/>
        <item x="91"/>
        <item x="186"/>
        <item x="429"/>
        <item x="17"/>
        <item x="258"/>
        <item x="232"/>
        <item x="195"/>
        <item x="272"/>
        <item x="155"/>
        <item x="157"/>
        <item x="203"/>
        <item x="403"/>
        <item x="4"/>
        <item x="107"/>
        <item x="180"/>
        <item x="221"/>
        <item x="224"/>
        <item x="129"/>
        <item x="461"/>
        <item x="360"/>
        <item x="468"/>
        <item x="421"/>
        <item x="457"/>
        <item x="270"/>
        <item x="313"/>
        <item x="109"/>
        <item x="43"/>
        <item x="106"/>
        <item x="73"/>
        <item x="94"/>
        <item x="83"/>
        <item x="300"/>
        <item x="444"/>
        <item x="3"/>
        <item x="308"/>
        <item x="29"/>
        <item x="196"/>
        <item x="301"/>
        <item x="387"/>
        <item x="287"/>
        <item x="240"/>
        <item x="381"/>
        <item x="62"/>
        <item x="51"/>
        <item x="371"/>
        <item x="245"/>
        <item x="143"/>
        <item x="294"/>
        <item x="275"/>
        <item x="377"/>
        <item x="290"/>
        <item x="380"/>
        <item x="345"/>
        <item x="154"/>
        <item x="326"/>
        <item x="368"/>
        <item x="392"/>
        <item x="471"/>
        <item x="174"/>
        <item x="249"/>
        <item x="98"/>
        <item x="92"/>
        <item x="414"/>
        <item x="427"/>
        <item x="383"/>
        <item x="150"/>
        <item x="89"/>
        <item x="370"/>
        <item x="458"/>
        <item x="348"/>
        <item x="193"/>
        <item x="352"/>
        <item x="335"/>
        <item x="310"/>
        <item x="390"/>
        <item x="36"/>
        <item x="459"/>
        <item x="182"/>
        <item x="219"/>
        <item x="33"/>
        <item x="304"/>
        <item x="41"/>
        <item x="356"/>
        <item x="285"/>
        <item x="344"/>
        <item x="349"/>
        <item x="440"/>
        <item x="209"/>
        <item x="70"/>
        <item x="327"/>
        <item x="40"/>
        <item x="54"/>
        <item x="153"/>
        <item x="365"/>
        <item x="67"/>
        <item x="469"/>
        <item x="286"/>
        <item x="69"/>
        <item x="144"/>
        <item x="473"/>
        <item x="48"/>
        <item x="82"/>
        <item x="38"/>
        <item x="126"/>
        <item x="338"/>
        <item x="430"/>
        <item x="401"/>
        <item x="125"/>
        <item x="438"/>
        <item x="238"/>
        <item x="449"/>
        <item x="102"/>
        <item x="474"/>
        <item x="113"/>
        <item x="350"/>
        <item x="93"/>
        <item x="218"/>
        <item x="259"/>
        <item x="447"/>
        <item x="378"/>
        <item x="204"/>
        <item x="433"/>
        <item x="369"/>
        <item x="210"/>
        <item x="336"/>
        <item x="333"/>
        <item x="397"/>
        <item x="435"/>
        <item x="25"/>
        <item x="372"/>
        <item x="460"/>
        <item x="12"/>
        <item x="170"/>
        <item x="405"/>
        <item x="417"/>
        <item x="317"/>
        <item x="111"/>
        <item x="323"/>
        <item x="208"/>
        <item x="355"/>
        <item x="135"/>
        <item x="357"/>
        <item x="176"/>
        <item x="425"/>
        <item x="314"/>
        <item x="226"/>
        <item x="418"/>
        <item x="27"/>
        <item x="420"/>
        <item x="178"/>
        <item x="65"/>
        <item x="239"/>
        <item x="396"/>
        <item x="411"/>
        <item x="276"/>
        <item x="104"/>
        <item x="45"/>
        <item x="343"/>
        <item x="455"/>
        <item x="81"/>
        <item x="409"/>
        <item x="384"/>
        <item x="434"/>
        <item x="211"/>
        <item x="127"/>
        <item x="340"/>
        <item x="202"/>
        <item x="165"/>
        <item x="251"/>
        <item x="234"/>
        <item x="423"/>
        <item x="159"/>
        <item x="243"/>
        <item x="443"/>
        <item x="151"/>
        <item x="116"/>
        <item x="402"/>
        <item x="101"/>
        <item x="138"/>
        <item x="252"/>
        <item x="416"/>
        <item x="18"/>
        <item x="284"/>
        <item x="140"/>
        <item x="253"/>
        <item x="115"/>
        <item x="359"/>
        <item x="194"/>
        <item x="388"/>
        <item x="177"/>
        <item x="408"/>
        <item x="363"/>
        <item x="422"/>
        <item x="269"/>
        <item x="168"/>
        <item x="128"/>
        <item x="147"/>
        <item x="161"/>
        <item x="79"/>
        <item x="46"/>
        <item x="283"/>
        <item x="108"/>
        <item x="146"/>
        <item x="230"/>
        <item x="248"/>
        <item x="288"/>
        <item x="9"/>
        <item x="441"/>
        <item x="379"/>
        <item x="166"/>
        <item x="227"/>
        <item x="315"/>
        <item x="50"/>
        <item x="130"/>
        <item x="185"/>
        <item x="242"/>
        <item x="86"/>
        <item x="413"/>
        <item x="330"/>
        <item x="21"/>
        <item x="280"/>
        <item x="451"/>
        <item x="268"/>
        <item x="97"/>
        <item x="376"/>
        <item x="261"/>
        <item x="200"/>
        <item x="399"/>
        <item x="201"/>
        <item x="55"/>
        <item x="262"/>
        <item x="247"/>
        <item x="354"/>
        <item x="321"/>
        <item x="112"/>
        <item x="110"/>
        <item x="184"/>
        <item x="28"/>
        <item x="11"/>
        <item x="450"/>
        <item x="263"/>
        <item x="256"/>
        <item x="123"/>
        <item x="149"/>
        <item x="19"/>
        <item x="442"/>
        <item x="42"/>
        <item x="302"/>
        <item x="358"/>
        <item x="169"/>
        <item x="77"/>
        <item x="395"/>
        <item x="291"/>
        <item x="415"/>
        <item x="375"/>
        <item x="53"/>
        <item x="265"/>
        <item x="331"/>
        <item x="279"/>
        <item x="448"/>
        <item x="367"/>
        <item x="142"/>
        <item x="424"/>
        <item x="121"/>
        <item x="52"/>
        <item x="398"/>
        <item x="190"/>
        <item x="389"/>
        <item x="307"/>
        <item x="66"/>
        <item x="312"/>
        <item x="0"/>
        <item x="84"/>
        <item x="134"/>
        <item x="103"/>
        <item x="274"/>
        <item x="215"/>
        <item x="75"/>
        <item x="23"/>
        <item x="229"/>
        <item x="214"/>
        <item x="382"/>
        <item x="100"/>
        <item x="267"/>
        <item x="207"/>
        <item x="164"/>
        <item x="60"/>
        <item x="452"/>
        <item x="295"/>
        <item x="366"/>
        <item x="328"/>
        <item x="293"/>
        <item x="446"/>
        <item x="197"/>
        <item x="72"/>
        <item x="175"/>
        <item x="391"/>
        <item x="213"/>
        <item x="257"/>
        <item x="8"/>
        <item x="373"/>
        <item x="351"/>
        <item x="122"/>
        <item x="133"/>
        <item x="74"/>
        <item x="88"/>
        <item x="306"/>
        <item x="85"/>
        <item x="171"/>
        <item x="318"/>
        <item x="431"/>
        <item x="407"/>
        <item x="241"/>
        <item x="32"/>
        <item x="467"/>
        <item x="24"/>
        <item x="289"/>
        <item x="57"/>
        <item x="316"/>
        <item x="432"/>
        <item x="189"/>
        <item x="361"/>
        <item x="173"/>
        <item t="default"/>
      </items>
    </pivotField>
    <pivotField showAll="0"/>
    <pivotField showAll="0"/>
    <pivotField showAll="0"/>
    <pivotField showAll="0"/>
    <pivotField dataField="1" numFmtId="44" showAll="0"/>
    <pivotField dataField="1" numFmtId="44" showAll="0"/>
    <pivotField showAll="0"/>
    <pivotField showAll="0"/>
    <pivotField showAll="0"/>
    <pivotField numFmtId="44" showAll="0"/>
    <pivotField numFmtId="44" showAll="0"/>
    <pivotField numFmtId="44" showAll="0"/>
    <pivotField numFmtId="9" showAll="0"/>
    <pivotField numFmtId="9" showAll="0"/>
    <pivotField showAll="0"/>
    <pivotField showAll="0"/>
    <pivotField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1">
    <field x="20"/>
  </rowFields>
  <rowItems count="4">
    <i>
      <x v="1"/>
    </i>
    <i>
      <x v="2"/>
    </i>
    <i>
      <x v="3"/>
    </i>
    <i t="grand">
      <x/>
    </i>
  </rowItems>
  <colFields count="1">
    <field x="-2"/>
  </colFields>
  <colItems count="2">
    <i>
      <x/>
    </i>
    <i i="1">
      <x v="1"/>
    </i>
  </colItems>
  <dataFields count="2">
    <dataField name="Average of Unit_Price" fld="7" subtotal="average" baseField="19" baseItem="11" numFmtId="44"/>
    <dataField name="Average of Negotiated_Price" fld="8" subtotal="average" baseField="19" baseItem="6"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4B18D6-9424-4259-A236-95A38E7112C5}" name="PivotTable8" cacheId="13" applyNumberFormats="0" applyBorderFormats="0" applyFontFormats="0" applyPatternFormats="0" applyAlignmentFormats="0" applyWidthHeightFormats="1" dataCaption="Values" updatedVersion="8" minRefreshableVersion="5" itemPrintTitles="1" createdVersion="8" indent="0" multipleFieldFilters="0" chartFormat="9">
  <location ref="A28:D35" firstHeaderRow="1" firstDataRow="2" firstDataCol="1"/>
  <pivotFields count="21">
    <pivotField showAll="0"/>
    <pivotField axis="axisRow" dataField="1" showAll="0">
      <items count="6">
        <item x="0"/>
        <item x="3"/>
        <item x="1"/>
        <item x="4"/>
        <item x="2"/>
        <item t="default"/>
      </items>
    </pivotField>
    <pivotField numFmtId="14" showAll="0">
      <items count="476">
        <item x="148"/>
        <item x="362"/>
        <item x="237"/>
        <item x="137"/>
        <item x="404"/>
        <item x="30"/>
        <item x="187"/>
        <item x="292"/>
        <item x="278"/>
        <item x="131"/>
        <item x="231"/>
        <item x="152"/>
        <item x="439"/>
        <item x="183"/>
        <item x="346"/>
        <item x="2"/>
        <item x="472"/>
        <item x="20"/>
        <item x="353"/>
        <item x="445"/>
        <item x="14"/>
        <item x="465"/>
        <item x="13"/>
        <item x="320"/>
        <item x="339"/>
        <item x="264"/>
        <item x="464"/>
        <item x="325"/>
        <item x="44"/>
        <item x="309"/>
        <item x="59"/>
        <item x="394"/>
        <item x="118"/>
        <item x="228"/>
        <item x="90"/>
        <item x="462"/>
        <item x="212"/>
        <item x="250"/>
        <item x="156"/>
        <item x="191"/>
        <item x="217"/>
        <item x="436"/>
        <item x="124"/>
        <item x="95"/>
        <item x="192"/>
        <item x="160"/>
        <item x="58"/>
        <item x="188"/>
        <item x="76"/>
        <item x="277"/>
        <item x="282"/>
        <item x="225"/>
        <item x="426"/>
        <item x="49"/>
        <item x="63"/>
        <item x="254"/>
        <item x="266"/>
        <item x="453"/>
        <item x="386"/>
        <item x="158"/>
        <item x="10"/>
        <item x="117"/>
        <item x="37"/>
        <item x="15"/>
        <item x="206"/>
        <item x="39"/>
        <item x="216"/>
        <item x="281"/>
        <item x="64"/>
        <item x="7"/>
        <item x="329"/>
        <item x="296"/>
        <item x="141"/>
        <item x="299"/>
        <item x="337"/>
        <item x="220"/>
        <item x="119"/>
        <item x="1"/>
        <item x="132"/>
        <item x="298"/>
        <item x="260"/>
        <item x="179"/>
        <item x="410"/>
        <item x="47"/>
        <item x="162"/>
        <item x="466"/>
        <item x="324"/>
        <item x="163"/>
        <item x="311"/>
        <item x="273"/>
        <item x="199"/>
        <item x="412"/>
        <item x="297"/>
        <item x="454"/>
        <item x="114"/>
        <item x="6"/>
        <item x="222"/>
        <item x="105"/>
        <item x="393"/>
        <item x="322"/>
        <item x="319"/>
        <item x="428"/>
        <item x="120"/>
        <item x="244"/>
        <item x="34"/>
        <item x="136"/>
        <item x="419"/>
        <item x="31"/>
        <item x="145"/>
        <item x="68"/>
        <item x="80"/>
        <item x="236"/>
        <item x="167"/>
        <item x="233"/>
        <item x="470"/>
        <item x="385"/>
        <item x="78"/>
        <item x="374"/>
        <item x="406"/>
        <item x="332"/>
        <item x="139"/>
        <item x="334"/>
        <item x="456"/>
        <item x="223"/>
        <item x="255"/>
        <item x="205"/>
        <item x="56"/>
        <item x="347"/>
        <item x="400"/>
        <item x="364"/>
        <item x="22"/>
        <item x="342"/>
        <item x="172"/>
        <item x="305"/>
        <item x="271"/>
        <item x="437"/>
        <item x="71"/>
        <item x="303"/>
        <item x="96"/>
        <item x="99"/>
        <item x="235"/>
        <item x="198"/>
        <item x="35"/>
        <item x="246"/>
        <item x="16"/>
        <item x="87"/>
        <item x="26"/>
        <item x="341"/>
        <item x="5"/>
        <item x="463"/>
        <item x="181"/>
        <item x="61"/>
        <item x="91"/>
        <item x="186"/>
        <item x="429"/>
        <item x="17"/>
        <item x="258"/>
        <item x="232"/>
        <item x="195"/>
        <item x="272"/>
        <item x="155"/>
        <item x="157"/>
        <item x="203"/>
        <item x="403"/>
        <item x="4"/>
        <item x="107"/>
        <item x="180"/>
        <item x="221"/>
        <item x="224"/>
        <item x="129"/>
        <item x="461"/>
        <item x="360"/>
        <item x="468"/>
        <item x="421"/>
        <item x="457"/>
        <item x="270"/>
        <item x="313"/>
        <item x="109"/>
        <item x="43"/>
        <item x="106"/>
        <item x="73"/>
        <item x="94"/>
        <item x="83"/>
        <item x="300"/>
        <item x="444"/>
        <item x="3"/>
        <item x="308"/>
        <item x="29"/>
        <item x="196"/>
        <item x="301"/>
        <item x="387"/>
        <item x="287"/>
        <item x="240"/>
        <item x="381"/>
        <item x="62"/>
        <item x="51"/>
        <item x="371"/>
        <item x="245"/>
        <item x="143"/>
        <item x="294"/>
        <item x="275"/>
        <item x="377"/>
        <item x="290"/>
        <item x="380"/>
        <item x="345"/>
        <item x="154"/>
        <item x="326"/>
        <item x="368"/>
        <item x="392"/>
        <item x="471"/>
        <item x="174"/>
        <item x="249"/>
        <item x="98"/>
        <item x="92"/>
        <item x="414"/>
        <item x="427"/>
        <item x="383"/>
        <item x="150"/>
        <item x="89"/>
        <item x="370"/>
        <item x="458"/>
        <item x="348"/>
        <item x="193"/>
        <item x="352"/>
        <item x="335"/>
        <item x="310"/>
        <item x="390"/>
        <item x="36"/>
        <item x="459"/>
        <item x="182"/>
        <item x="219"/>
        <item x="33"/>
        <item x="304"/>
        <item x="41"/>
        <item x="356"/>
        <item x="285"/>
        <item x="344"/>
        <item x="349"/>
        <item x="440"/>
        <item x="209"/>
        <item x="70"/>
        <item x="327"/>
        <item x="40"/>
        <item x="54"/>
        <item x="153"/>
        <item x="365"/>
        <item x="67"/>
        <item x="469"/>
        <item x="286"/>
        <item x="69"/>
        <item x="144"/>
        <item x="473"/>
        <item x="48"/>
        <item x="82"/>
        <item x="38"/>
        <item x="126"/>
        <item x="338"/>
        <item x="430"/>
        <item x="401"/>
        <item x="125"/>
        <item x="438"/>
        <item x="238"/>
        <item x="449"/>
        <item x="102"/>
        <item x="474"/>
        <item x="113"/>
        <item x="350"/>
        <item x="93"/>
        <item x="218"/>
        <item x="259"/>
        <item x="447"/>
        <item x="378"/>
        <item x="204"/>
        <item x="433"/>
        <item x="369"/>
        <item x="210"/>
        <item x="336"/>
        <item x="333"/>
        <item x="397"/>
        <item x="435"/>
        <item x="25"/>
        <item x="372"/>
        <item x="460"/>
        <item x="12"/>
        <item x="170"/>
        <item x="405"/>
        <item x="417"/>
        <item x="317"/>
        <item x="111"/>
        <item x="323"/>
        <item x="208"/>
        <item x="355"/>
        <item x="135"/>
        <item x="357"/>
        <item x="176"/>
        <item x="425"/>
        <item x="314"/>
        <item x="226"/>
        <item x="418"/>
        <item x="27"/>
        <item x="420"/>
        <item x="178"/>
        <item x="65"/>
        <item x="239"/>
        <item x="396"/>
        <item x="411"/>
        <item x="276"/>
        <item x="104"/>
        <item x="45"/>
        <item x="343"/>
        <item x="455"/>
        <item x="81"/>
        <item x="409"/>
        <item x="384"/>
        <item x="434"/>
        <item x="211"/>
        <item x="127"/>
        <item x="340"/>
        <item x="202"/>
        <item x="165"/>
        <item x="251"/>
        <item x="234"/>
        <item x="423"/>
        <item x="159"/>
        <item x="243"/>
        <item x="443"/>
        <item x="151"/>
        <item x="116"/>
        <item x="402"/>
        <item x="101"/>
        <item x="138"/>
        <item x="252"/>
        <item x="416"/>
        <item x="18"/>
        <item x="284"/>
        <item x="140"/>
        <item x="253"/>
        <item x="115"/>
        <item x="359"/>
        <item x="194"/>
        <item x="388"/>
        <item x="177"/>
        <item x="408"/>
        <item x="363"/>
        <item x="422"/>
        <item x="269"/>
        <item x="168"/>
        <item x="128"/>
        <item x="147"/>
        <item x="161"/>
        <item x="79"/>
        <item x="46"/>
        <item x="283"/>
        <item x="108"/>
        <item x="146"/>
        <item x="230"/>
        <item x="248"/>
        <item x="288"/>
        <item x="9"/>
        <item x="441"/>
        <item x="379"/>
        <item x="166"/>
        <item x="227"/>
        <item x="315"/>
        <item x="50"/>
        <item x="130"/>
        <item x="185"/>
        <item x="242"/>
        <item x="86"/>
        <item x="413"/>
        <item x="330"/>
        <item x="21"/>
        <item x="280"/>
        <item x="451"/>
        <item x="268"/>
        <item x="97"/>
        <item x="376"/>
        <item x="261"/>
        <item x="200"/>
        <item x="399"/>
        <item x="201"/>
        <item x="55"/>
        <item x="262"/>
        <item x="247"/>
        <item x="354"/>
        <item x="321"/>
        <item x="112"/>
        <item x="110"/>
        <item x="184"/>
        <item x="28"/>
        <item x="11"/>
        <item x="450"/>
        <item x="263"/>
        <item x="256"/>
        <item x="123"/>
        <item x="149"/>
        <item x="19"/>
        <item x="442"/>
        <item x="42"/>
        <item x="302"/>
        <item x="358"/>
        <item x="169"/>
        <item x="77"/>
        <item x="395"/>
        <item x="291"/>
        <item x="415"/>
        <item x="375"/>
        <item x="53"/>
        <item x="265"/>
        <item x="331"/>
        <item x="279"/>
        <item x="448"/>
        <item x="367"/>
        <item x="142"/>
        <item x="424"/>
        <item x="121"/>
        <item x="52"/>
        <item x="398"/>
        <item x="190"/>
        <item x="389"/>
        <item x="307"/>
        <item x="66"/>
        <item x="312"/>
        <item x="0"/>
        <item x="84"/>
        <item x="134"/>
        <item x="103"/>
        <item x="274"/>
        <item x="215"/>
        <item x="75"/>
        <item x="23"/>
        <item x="229"/>
        <item x="214"/>
        <item x="382"/>
        <item x="100"/>
        <item x="267"/>
        <item x="207"/>
        <item x="164"/>
        <item x="60"/>
        <item x="452"/>
        <item x="295"/>
        <item x="366"/>
        <item x="328"/>
        <item x="293"/>
        <item x="446"/>
        <item x="197"/>
        <item x="72"/>
        <item x="175"/>
        <item x="391"/>
        <item x="213"/>
        <item x="257"/>
        <item x="8"/>
        <item x="373"/>
        <item x="351"/>
        <item x="122"/>
        <item x="133"/>
        <item x="74"/>
        <item x="88"/>
        <item x="306"/>
        <item x="85"/>
        <item x="171"/>
        <item x="318"/>
        <item x="431"/>
        <item x="407"/>
        <item x="241"/>
        <item x="32"/>
        <item x="467"/>
        <item x="24"/>
        <item x="289"/>
        <item x="57"/>
        <item x="316"/>
        <item x="432"/>
        <item x="189"/>
        <item x="361"/>
        <item x="173"/>
        <item t="default"/>
      </items>
    </pivotField>
    <pivotField showAll="0"/>
    <pivotField showAll="0"/>
    <pivotField showAll="0"/>
    <pivotField showAll="0"/>
    <pivotField numFmtId="44" showAll="0"/>
    <pivotField numFmtId="44" showAll="0"/>
    <pivotField showAll="0"/>
    <pivotField axis="axisCol" showAll="0">
      <items count="3">
        <item x="1"/>
        <item x="0"/>
        <item t="default"/>
      </items>
    </pivotField>
    <pivotField showAll="0"/>
    <pivotField numFmtId="44" showAll="0"/>
    <pivotField numFmtId="44" showAll="0"/>
    <pivotField numFmtId="44" showAll="0"/>
    <pivotField numFmtId="9" showAll="0"/>
    <pivotField numFmtId="9" showAll="0"/>
    <pivotField showAll="0"/>
    <pivotField showAll="0"/>
    <pivotField showAll="0"/>
    <pivotField showAll="0">
      <items count="6">
        <item x="0"/>
        <item x="1"/>
        <item x="2"/>
        <item x="3"/>
        <item x="4"/>
        <item t="default"/>
      </items>
    </pivotField>
  </pivotFields>
  <rowFields count="1">
    <field x="1"/>
  </rowFields>
  <rowItems count="6">
    <i>
      <x/>
    </i>
    <i>
      <x v="1"/>
    </i>
    <i>
      <x v="2"/>
    </i>
    <i>
      <x v="3"/>
    </i>
    <i>
      <x v="4"/>
    </i>
    <i t="grand">
      <x/>
    </i>
  </rowItems>
  <colFields count="1">
    <field x="10"/>
  </colFields>
  <colItems count="3">
    <i>
      <x/>
    </i>
    <i>
      <x v="1"/>
    </i>
    <i t="grand">
      <x/>
    </i>
  </colItems>
  <dataFields count="1">
    <dataField name="Count of Supplier" fld="1" subtotal="count" baseField="0" baseItem="0"/>
  </dataFields>
  <chartFormats count="7">
    <chartFormat chart="8" format="28" series="1">
      <pivotArea type="data" outline="0" fieldPosition="0">
        <references count="2">
          <reference field="4294967294" count="1" selected="0">
            <x v="0"/>
          </reference>
          <reference field="10" count="1" selected="0">
            <x v="0"/>
          </reference>
        </references>
      </pivotArea>
    </chartFormat>
    <chartFormat chart="8" format="29" series="1">
      <pivotArea type="data" outline="0" fieldPosition="0">
        <references count="2">
          <reference field="4294967294" count="1" selected="0">
            <x v="0"/>
          </reference>
          <reference field="10" count="1" selected="0">
            <x v="1"/>
          </reference>
        </references>
      </pivotArea>
    </chartFormat>
    <chartFormat chart="8" format="30">
      <pivotArea type="data" outline="0" fieldPosition="0">
        <references count="3">
          <reference field="4294967294" count="1" selected="0">
            <x v="0"/>
          </reference>
          <reference field="1" count="1" selected="0">
            <x v="0"/>
          </reference>
          <reference field="10" count="1" selected="0">
            <x v="1"/>
          </reference>
        </references>
      </pivotArea>
    </chartFormat>
    <chartFormat chart="8" format="31">
      <pivotArea type="data" outline="0" fieldPosition="0">
        <references count="3">
          <reference field="4294967294" count="1" selected="0">
            <x v="0"/>
          </reference>
          <reference field="1" count="1" selected="0">
            <x v="1"/>
          </reference>
          <reference field="10" count="1" selected="0">
            <x v="1"/>
          </reference>
        </references>
      </pivotArea>
    </chartFormat>
    <chartFormat chart="8" format="32">
      <pivotArea type="data" outline="0" fieldPosition="0">
        <references count="3">
          <reference field="4294967294" count="1" selected="0">
            <x v="0"/>
          </reference>
          <reference field="1" count="1" selected="0">
            <x v="2"/>
          </reference>
          <reference field="10" count="1" selected="0">
            <x v="1"/>
          </reference>
        </references>
      </pivotArea>
    </chartFormat>
    <chartFormat chart="8" format="33">
      <pivotArea type="data" outline="0" fieldPosition="0">
        <references count="3">
          <reference field="4294967294" count="1" selected="0">
            <x v="0"/>
          </reference>
          <reference field="1" count="1" selected="0">
            <x v="3"/>
          </reference>
          <reference field="10" count="1" selected="0">
            <x v="1"/>
          </reference>
        </references>
      </pivotArea>
    </chartFormat>
    <chartFormat chart="8" format="34">
      <pivotArea type="data" outline="0" fieldPosition="0">
        <references count="3">
          <reference field="4294967294" count="1" selected="0">
            <x v="0"/>
          </reference>
          <reference field="1" count="1" selected="0">
            <x v="4"/>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3A7E4B-5FBF-4EA6-8D7F-53B3D4014C92}" name="PivotTable7" cacheId="13" applyNumberFormats="0" applyBorderFormats="0" applyFontFormats="0" applyPatternFormats="0" applyAlignmentFormats="0" applyWidthHeightFormats="1" dataCaption="Values" updatedVersion="8" minRefreshableVersion="5" itemPrintTitles="1" createdVersion="8" indent="0" multipleFieldFilters="0" chartFormat="18">
  <location ref="A21:B26" firstHeaderRow="1" firstDataRow="1" firstDataCol="1"/>
  <pivotFields count="21">
    <pivotField showAll="0"/>
    <pivotField showAll="0">
      <items count="6">
        <item x="0"/>
        <item x="3"/>
        <item x="1"/>
        <item x="4"/>
        <item x="2"/>
        <item t="default"/>
      </items>
    </pivotField>
    <pivotField numFmtId="14" showAll="0">
      <items count="476">
        <item x="148"/>
        <item x="362"/>
        <item x="237"/>
        <item x="137"/>
        <item x="404"/>
        <item x="30"/>
        <item x="187"/>
        <item x="292"/>
        <item x="278"/>
        <item x="131"/>
        <item x="231"/>
        <item x="152"/>
        <item x="439"/>
        <item x="183"/>
        <item x="346"/>
        <item x="2"/>
        <item x="472"/>
        <item x="20"/>
        <item x="353"/>
        <item x="445"/>
        <item x="14"/>
        <item x="465"/>
        <item x="13"/>
        <item x="320"/>
        <item x="339"/>
        <item x="264"/>
        <item x="464"/>
        <item x="325"/>
        <item x="44"/>
        <item x="309"/>
        <item x="59"/>
        <item x="394"/>
        <item x="118"/>
        <item x="228"/>
        <item x="90"/>
        <item x="462"/>
        <item x="212"/>
        <item x="250"/>
        <item x="156"/>
        <item x="191"/>
        <item x="217"/>
        <item x="436"/>
        <item x="124"/>
        <item x="95"/>
        <item x="192"/>
        <item x="160"/>
        <item x="58"/>
        <item x="188"/>
        <item x="76"/>
        <item x="277"/>
        <item x="282"/>
        <item x="225"/>
        <item x="426"/>
        <item x="49"/>
        <item x="63"/>
        <item x="254"/>
        <item x="266"/>
        <item x="453"/>
        <item x="386"/>
        <item x="158"/>
        <item x="10"/>
        <item x="117"/>
        <item x="37"/>
        <item x="15"/>
        <item x="206"/>
        <item x="39"/>
        <item x="216"/>
        <item x="281"/>
        <item x="64"/>
        <item x="7"/>
        <item x="329"/>
        <item x="296"/>
        <item x="141"/>
        <item x="299"/>
        <item x="337"/>
        <item x="220"/>
        <item x="119"/>
        <item x="1"/>
        <item x="132"/>
        <item x="298"/>
        <item x="260"/>
        <item x="179"/>
        <item x="410"/>
        <item x="47"/>
        <item x="162"/>
        <item x="466"/>
        <item x="324"/>
        <item x="163"/>
        <item x="311"/>
        <item x="273"/>
        <item x="199"/>
        <item x="412"/>
        <item x="297"/>
        <item x="454"/>
        <item x="114"/>
        <item x="6"/>
        <item x="222"/>
        <item x="105"/>
        <item x="393"/>
        <item x="322"/>
        <item x="319"/>
        <item x="428"/>
        <item x="120"/>
        <item x="244"/>
        <item x="34"/>
        <item x="136"/>
        <item x="419"/>
        <item x="31"/>
        <item x="145"/>
        <item x="68"/>
        <item x="80"/>
        <item x="236"/>
        <item x="167"/>
        <item x="233"/>
        <item x="470"/>
        <item x="385"/>
        <item x="78"/>
        <item x="374"/>
        <item x="406"/>
        <item x="332"/>
        <item x="139"/>
        <item x="334"/>
        <item x="456"/>
        <item x="223"/>
        <item x="255"/>
        <item x="205"/>
        <item x="56"/>
        <item x="347"/>
        <item x="400"/>
        <item x="364"/>
        <item x="22"/>
        <item x="342"/>
        <item x="172"/>
        <item x="305"/>
        <item x="271"/>
        <item x="437"/>
        <item x="71"/>
        <item x="303"/>
        <item x="96"/>
        <item x="99"/>
        <item x="235"/>
        <item x="198"/>
        <item x="35"/>
        <item x="246"/>
        <item x="16"/>
        <item x="87"/>
        <item x="26"/>
        <item x="341"/>
        <item x="5"/>
        <item x="463"/>
        <item x="181"/>
        <item x="61"/>
        <item x="91"/>
        <item x="186"/>
        <item x="429"/>
        <item x="17"/>
        <item x="258"/>
        <item x="232"/>
        <item x="195"/>
        <item x="272"/>
        <item x="155"/>
        <item x="157"/>
        <item x="203"/>
        <item x="403"/>
        <item x="4"/>
        <item x="107"/>
        <item x="180"/>
        <item x="221"/>
        <item x="224"/>
        <item x="129"/>
        <item x="461"/>
        <item x="360"/>
        <item x="468"/>
        <item x="421"/>
        <item x="457"/>
        <item x="270"/>
        <item x="313"/>
        <item x="109"/>
        <item x="43"/>
        <item x="106"/>
        <item x="73"/>
        <item x="94"/>
        <item x="83"/>
        <item x="300"/>
        <item x="444"/>
        <item x="3"/>
        <item x="308"/>
        <item x="29"/>
        <item x="196"/>
        <item x="301"/>
        <item x="387"/>
        <item x="287"/>
        <item x="240"/>
        <item x="381"/>
        <item x="62"/>
        <item x="51"/>
        <item x="371"/>
        <item x="245"/>
        <item x="143"/>
        <item x="294"/>
        <item x="275"/>
        <item x="377"/>
        <item x="290"/>
        <item x="380"/>
        <item x="345"/>
        <item x="154"/>
        <item x="326"/>
        <item x="368"/>
        <item x="392"/>
        <item x="471"/>
        <item x="174"/>
        <item x="249"/>
        <item x="98"/>
        <item x="92"/>
        <item x="414"/>
        <item x="427"/>
        <item x="383"/>
        <item x="150"/>
        <item x="89"/>
        <item x="370"/>
        <item x="458"/>
        <item x="348"/>
        <item x="193"/>
        <item x="352"/>
        <item x="335"/>
        <item x="310"/>
        <item x="390"/>
        <item x="36"/>
        <item x="459"/>
        <item x="182"/>
        <item x="219"/>
        <item x="33"/>
        <item x="304"/>
        <item x="41"/>
        <item x="356"/>
        <item x="285"/>
        <item x="344"/>
        <item x="349"/>
        <item x="440"/>
        <item x="209"/>
        <item x="70"/>
        <item x="327"/>
        <item x="40"/>
        <item x="54"/>
        <item x="153"/>
        <item x="365"/>
        <item x="67"/>
        <item x="469"/>
        <item x="286"/>
        <item x="69"/>
        <item x="144"/>
        <item x="473"/>
        <item x="48"/>
        <item x="82"/>
        <item x="38"/>
        <item x="126"/>
        <item x="338"/>
        <item x="430"/>
        <item x="401"/>
        <item x="125"/>
        <item x="438"/>
        <item x="238"/>
        <item x="449"/>
        <item x="102"/>
        <item x="474"/>
        <item x="113"/>
        <item x="350"/>
        <item x="93"/>
        <item x="218"/>
        <item x="259"/>
        <item x="447"/>
        <item x="378"/>
        <item x="204"/>
        <item x="433"/>
        <item x="369"/>
        <item x="210"/>
        <item x="336"/>
        <item x="333"/>
        <item x="397"/>
        <item x="435"/>
        <item x="25"/>
        <item x="372"/>
        <item x="460"/>
        <item x="12"/>
        <item x="170"/>
        <item x="405"/>
        <item x="417"/>
        <item x="317"/>
        <item x="111"/>
        <item x="323"/>
        <item x="208"/>
        <item x="355"/>
        <item x="135"/>
        <item x="357"/>
        <item x="176"/>
        <item x="425"/>
        <item x="314"/>
        <item x="226"/>
        <item x="418"/>
        <item x="27"/>
        <item x="420"/>
        <item x="178"/>
        <item x="65"/>
        <item x="239"/>
        <item x="396"/>
        <item x="411"/>
        <item x="276"/>
        <item x="104"/>
        <item x="45"/>
        <item x="343"/>
        <item x="455"/>
        <item x="81"/>
        <item x="409"/>
        <item x="384"/>
        <item x="434"/>
        <item x="211"/>
        <item x="127"/>
        <item x="340"/>
        <item x="202"/>
        <item x="165"/>
        <item x="251"/>
        <item x="234"/>
        <item x="423"/>
        <item x="159"/>
        <item x="243"/>
        <item x="443"/>
        <item x="151"/>
        <item x="116"/>
        <item x="402"/>
        <item x="101"/>
        <item x="138"/>
        <item x="252"/>
        <item x="416"/>
        <item x="18"/>
        <item x="284"/>
        <item x="140"/>
        <item x="253"/>
        <item x="115"/>
        <item x="359"/>
        <item x="194"/>
        <item x="388"/>
        <item x="177"/>
        <item x="408"/>
        <item x="363"/>
        <item x="422"/>
        <item x="269"/>
        <item x="168"/>
        <item x="128"/>
        <item x="147"/>
        <item x="161"/>
        <item x="79"/>
        <item x="46"/>
        <item x="283"/>
        <item x="108"/>
        <item x="146"/>
        <item x="230"/>
        <item x="248"/>
        <item x="288"/>
        <item x="9"/>
        <item x="441"/>
        <item x="379"/>
        <item x="166"/>
        <item x="227"/>
        <item x="315"/>
        <item x="50"/>
        <item x="130"/>
        <item x="185"/>
        <item x="242"/>
        <item x="86"/>
        <item x="413"/>
        <item x="330"/>
        <item x="21"/>
        <item x="280"/>
        <item x="451"/>
        <item x="268"/>
        <item x="97"/>
        <item x="376"/>
        <item x="261"/>
        <item x="200"/>
        <item x="399"/>
        <item x="201"/>
        <item x="55"/>
        <item x="262"/>
        <item x="247"/>
        <item x="354"/>
        <item x="321"/>
        <item x="112"/>
        <item x="110"/>
        <item x="184"/>
        <item x="28"/>
        <item x="11"/>
        <item x="450"/>
        <item x="263"/>
        <item x="256"/>
        <item x="123"/>
        <item x="149"/>
        <item x="19"/>
        <item x="442"/>
        <item x="42"/>
        <item x="302"/>
        <item x="358"/>
        <item x="169"/>
        <item x="77"/>
        <item x="395"/>
        <item x="291"/>
        <item x="415"/>
        <item x="375"/>
        <item x="53"/>
        <item x="265"/>
        <item x="331"/>
        <item x="279"/>
        <item x="448"/>
        <item x="367"/>
        <item x="142"/>
        <item x="424"/>
        <item x="121"/>
        <item x="52"/>
        <item x="398"/>
        <item x="190"/>
        <item x="389"/>
        <item x="307"/>
        <item x="66"/>
        <item x="312"/>
        <item x="0"/>
        <item x="84"/>
        <item x="134"/>
        <item x="103"/>
        <item x="274"/>
        <item x="215"/>
        <item x="75"/>
        <item x="23"/>
        <item x="229"/>
        <item x="214"/>
        <item x="382"/>
        <item x="100"/>
        <item x="267"/>
        <item x="207"/>
        <item x="164"/>
        <item x="60"/>
        <item x="452"/>
        <item x="295"/>
        <item x="366"/>
        <item x="328"/>
        <item x="293"/>
        <item x="446"/>
        <item x="197"/>
        <item x="72"/>
        <item x="175"/>
        <item x="391"/>
        <item x="213"/>
        <item x="257"/>
        <item x="8"/>
        <item x="373"/>
        <item x="351"/>
        <item x="122"/>
        <item x="133"/>
        <item x="74"/>
        <item x="88"/>
        <item x="306"/>
        <item x="85"/>
        <item x="171"/>
        <item x="318"/>
        <item x="431"/>
        <item x="407"/>
        <item x="241"/>
        <item x="32"/>
        <item x="467"/>
        <item x="24"/>
        <item x="289"/>
        <item x="57"/>
        <item x="316"/>
        <item x="432"/>
        <item x="189"/>
        <item x="361"/>
        <item x="173"/>
        <item t="default"/>
      </items>
    </pivotField>
    <pivotField showAll="0"/>
    <pivotField showAll="0"/>
    <pivotField axis="axisRow" dataField="1" showAll="0">
      <items count="5">
        <item x="0"/>
        <item x="1"/>
        <item x="2"/>
        <item x="3"/>
        <item t="default"/>
      </items>
    </pivotField>
    <pivotField showAll="0"/>
    <pivotField numFmtId="44" showAll="0"/>
    <pivotField numFmtId="44" showAll="0"/>
    <pivotField showAll="0"/>
    <pivotField showAll="0"/>
    <pivotField showAll="0"/>
    <pivotField numFmtId="44" showAll="0"/>
    <pivotField numFmtId="44" showAll="0"/>
    <pivotField numFmtId="44" showAll="0"/>
    <pivotField numFmtId="9" showAll="0"/>
    <pivotField numFmtId="9" showAll="0"/>
    <pivotField showAll="0"/>
    <pivotField showAll="0"/>
    <pivotField showAll="0"/>
    <pivotField showAll="0">
      <items count="6">
        <item x="0"/>
        <item x="1"/>
        <item x="2"/>
        <item x="3"/>
        <item x="4"/>
        <item t="default"/>
      </items>
    </pivotField>
  </pivotFields>
  <rowFields count="1">
    <field x="5"/>
  </rowFields>
  <rowItems count="5">
    <i>
      <x/>
    </i>
    <i>
      <x v="1"/>
    </i>
    <i>
      <x v="2"/>
    </i>
    <i>
      <x v="3"/>
    </i>
    <i t="grand">
      <x/>
    </i>
  </rowItems>
  <colItems count="1">
    <i/>
  </colItems>
  <dataFields count="1">
    <dataField name="Count of Order_Status" fld="5" subtotal="count" baseField="5" baseItem="0"/>
  </dataFields>
  <chartFormats count="4">
    <chartFormat chart="17" format="9" series="1">
      <pivotArea type="data" outline="0" fieldPosition="0">
        <references count="1">
          <reference field="4294967294" count="1" selected="0">
            <x v="0"/>
          </reference>
        </references>
      </pivotArea>
    </chartFormat>
    <chartFormat chart="17" format="10">
      <pivotArea type="data" outline="0" fieldPosition="0">
        <references count="2">
          <reference field="4294967294" count="1" selected="0">
            <x v="0"/>
          </reference>
          <reference field="5" count="1" selected="0">
            <x v="0"/>
          </reference>
        </references>
      </pivotArea>
    </chartFormat>
    <chartFormat chart="17" format="11">
      <pivotArea type="data" outline="0" fieldPosition="0">
        <references count="2">
          <reference field="4294967294" count="1" selected="0">
            <x v="0"/>
          </reference>
          <reference field="5" count="1" selected="0">
            <x v="2"/>
          </reference>
        </references>
      </pivotArea>
    </chartFormat>
    <chartFormat chart="17" format="12">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A45DF8-23F0-4948-A790-CAF3A8B92B8A}" name="PivotTable6" cacheId="13" applyNumberFormats="0" applyBorderFormats="0" applyFontFormats="0" applyPatternFormats="0" applyAlignmentFormats="0" applyWidthHeightFormats="1" dataCaption="Values" updatedVersion="8" minRefreshableVersion="5" rowGrandTotals="0" colGrandTotals="0" itemPrintTitles="1" createdVersion="8" indent="0" multipleFieldFilters="0" chartFormat="50" colHeaderCaption="Performance">
  <location ref="X19:Y25" firstHeaderRow="1" firstDataRow="1" firstDataCol="1"/>
  <pivotFields count="21">
    <pivotField showAll="0" defaultSubtotal="0"/>
    <pivotField showAll="0" defaultSubtotal="0">
      <items count="5">
        <item x="0"/>
        <item x="3"/>
        <item x="1"/>
        <item x="4"/>
        <item x="2"/>
      </items>
    </pivotField>
    <pivotField numFmtId="14" showAll="0" defaultSubtotal="0">
      <items count="475">
        <item x="148"/>
        <item x="362"/>
        <item x="237"/>
        <item x="137"/>
        <item x="404"/>
        <item x="30"/>
        <item x="187"/>
        <item x="292"/>
        <item x="278"/>
        <item x="131"/>
        <item x="231"/>
        <item x="152"/>
        <item x="439"/>
        <item x="183"/>
        <item x="346"/>
        <item x="2"/>
        <item x="472"/>
        <item x="20"/>
        <item x="353"/>
        <item x="445"/>
        <item x="14"/>
        <item x="465"/>
        <item x="13"/>
        <item x="320"/>
        <item x="339"/>
        <item x="264"/>
        <item x="464"/>
        <item x="325"/>
        <item x="44"/>
        <item x="309"/>
        <item x="59"/>
        <item x="394"/>
        <item x="118"/>
        <item x="228"/>
        <item x="90"/>
        <item x="462"/>
        <item x="212"/>
        <item x="250"/>
        <item x="156"/>
        <item x="191"/>
        <item x="217"/>
        <item x="436"/>
        <item x="124"/>
        <item x="95"/>
        <item x="192"/>
        <item x="160"/>
        <item x="58"/>
        <item x="188"/>
        <item x="76"/>
        <item x="277"/>
        <item x="282"/>
        <item x="225"/>
        <item x="426"/>
        <item x="49"/>
        <item x="63"/>
        <item x="254"/>
        <item x="266"/>
        <item x="453"/>
        <item x="386"/>
        <item x="158"/>
        <item x="10"/>
        <item x="117"/>
        <item x="37"/>
        <item x="15"/>
        <item x="206"/>
        <item x="39"/>
        <item x="216"/>
        <item x="281"/>
        <item x="64"/>
        <item x="7"/>
        <item x="329"/>
        <item x="296"/>
        <item x="141"/>
        <item x="299"/>
        <item x="337"/>
        <item x="220"/>
        <item x="119"/>
        <item x="1"/>
        <item x="132"/>
        <item x="298"/>
        <item x="260"/>
        <item x="179"/>
        <item x="410"/>
        <item x="47"/>
        <item x="162"/>
        <item x="466"/>
        <item x="324"/>
        <item x="163"/>
        <item x="311"/>
        <item x="273"/>
        <item x="199"/>
        <item x="412"/>
        <item x="297"/>
        <item x="454"/>
        <item x="114"/>
        <item x="6"/>
        <item x="222"/>
        <item x="105"/>
        <item x="393"/>
        <item x="322"/>
        <item x="319"/>
        <item x="428"/>
        <item x="120"/>
        <item x="244"/>
        <item x="34"/>
        <item x="136"/>
        <item x="419"/>
        <item x="31"/>
        <item x="145"/>
        <item x="68"/>
        <item x="80"/>
        <item x="236"/>
        <item x="167"/>
        <item x="233"/>
        <item x="470"/>
        <item x="385"/>
        <item x="78"/>
        <item x="374"/>
        <item x="406"/>
        <item x="332"/>
        <item x="139"/>
        <item x="334"/>
        <item x="456"/>
        <item x="223"/>
        <item x="255"/>
        <item x="205"/>
        <item x="56"/>
        <item x="347"/>
        <item x="400"/>
        <item x="364"/>
        <item x="22"/>
        <item x="342"/>
        <item x="172"/>
        <item x="305"/>
        <item x="271"/>
        <item x="437"/>
        <item x="71"/>
        <item x="303"/>
        <item x="96"/>
        <item x="99"/>
        <item x="235"/>
        <item x="198"/>
        <item x="35"/>
        <item x="246"/>
        <item x="16"/>
        <item x="87"/>
        <item x="26"/>
        <item x="341"/>
        <item x="5"/>
        <item x="463"/>
        <item x="181"/>
        <item x="61"/>
        <item x="91"/>
        <item x="186"/>
        <item x="429"/>
        <item x="17"/>
        <item x="258"/>
        <item x="232"/>
        <item x="195"/>
        <item x="272"/>
        <item x="155"/>
        <item x="157"/>
        <item x="203"/>
        <item x="403"/>
        <item x="4"/>
        <item x="107"/>
        <item x="180"/>
        <item x="221"/>
        <item x="224"/>
        <item x="129"/>
        <item x="461"/>
        <item x="360"/>
        <item x="468"/>
        <item x="421"/>
        <item x="457"/>
        <item x="270"/>
        <item x="313"/>
        <item x="109"/>
        <item x="43"/>
        <item x="106"/>
        <item x="73"/>
        <item x="94"/>
        <item x="83"/>
        <item x="300"/>
        <item x="444"/>
        <item x="3"/>
        <item x="308"/>
        <item x="29"/>
        <item x="196"/>
        <item x="301"/>
        <item x="387"/>
        <item x="287"/>
        <item x="240"/>
        <item x="381"/>
        <item x="62"/>
        <item x="51"/>
        <item x="371"/>
        <item x="245"/>
        <item x="143"/>
        <item x="294"/>
        <item x="275"/>
        <item x="377"/>
        <item x="290"/>
        <item x="380"/>
        <item x="345"/>
        <item x="154"/>
        <item x="326"/>
        <item x="368"/>
        <item x="392"/>
        <item x="471"/>
        <item x="174"/>
        <item x="249"/>
        <item x="98"/>
        <item x="92"/>
        <item x="414"/>
        <item x="427"/>
        <item x="383"/>
        <item x="150"/>
        <item x="89"/>
        <item x="370"/>
        <item x="458"/>
        <item x="348"/>
        <item x="193"/>
        <item x="352"/>
        <item x="335"/>
        <item x="310"/>
        <item x="390"/>
        <item x="36"/>
        <item x="459"/>
        <item x="182"/>
        <item x="219"/>
        <item x="33"/>
        <item x="304"/>
        <item x="41"/>
        <item x="356"/>
        <item x="285"/>
        <item x="344"/>
        <item x="349"/>
        <item x="440"/>
        <item x="209"/>
        <item x="70"/>
        <item x="327"/>
        <item x="40"/>
        <item x="54"/>
        <item x="153"/>
        <item x="365"/>
        <item x="67"/>
        <item x="469"/>
        <item x="286"/>
        <item x="69"/>
        <item x="144"/>
        <item x="473"/>
        <item x="48"/>
        <item x="82"/>
        <item x="38"/>
        <item x="126"/>
        <item x="338"/>
        <item x="430"/>
        <item x="401"/>
        <item x="125"/>
        <item x="438"/>
        <item x="238"/>
        <item x="449"/>
        <item x="102"/>
        <item x="474"/>
        <item x="113"/>
        <item x="350"/>
        <item x="93"/>
        <item x="218"/>
        <item x="259"/>
        <item x="447"/>
        <item x="378"/>
        <item x="204"/>
        <item x="433"/>
        <item x="369"/>
        <item x="210"/>
        <item x="336"/>
        <item x="333"/>
        <item x="397"/>
        <item x="435"/>
        <item x="25"/>
        <item x="372"/>
        <item x="460"/>
        <item x="12"/>
        <item x="170"/>
        <item x="405"/>
        <item x="417"/>
        <item x="317"/>
        <item x="111"/>
        <item x="323"/>
        <item x="208"/>
        <item x="355"/>
        <item x="135"/>
        <item x="357"/>
        <item x="176"/>
        <item x="425"/>
        <item x="314"/>
        <item x="226"/>
        <item x="418"/>
        <item x="27"/>
        <item x="420"/>
        <item x="178"/>
        <item x="65"/>
        <item x="239"/>
        <item x="396"/>
        <item x="411"/>
        <item x="276"/>
        <item x="104"/>
        <item x="45"/>
        <item x="343"/>
        <item x="455"/>
        <item x="81"/>
        <item x="409"/>
        <item x="384"/>
        <item x="434"/>
        <item x="211"/>
        <item x="127"/>
        <item x="340"/>
        <item x="202"/>
        <item x="165"/>
        <item x="251"/>
        <item x="234"/>
        <item x="423"/>
        <item x="159"/>
        <item x="243"/>
        <item x="443"/>
        <item x="151"/>
        <item x="116"/>
        <item x="402"/>
        <item x="101"/>
        <item x="138"/>
        <item x="252"/>
        <item x="416"/>
        <item x="18"/>
        <item x="284"/>
        <item x="140"/>
        <item x="253"/>
        <item x="115"/>
        <item x="359"/>
        <item x="194"/>
        <item x="388"/>
        <item x="177"/>
        <item x="408"/>
        <item x="363"/>
        <item x="422"/>
        <item x="269"/>
        <item x="168"/>
        <item x="128"/>
        <item x="147"/>
        <item x="161"/>
        <item x="79"/>
        <item x="46"/>
        <item x="283"/>
        <item x="108"/>
        <item x="146"/>
        <item x="230"/>
        <item x="248"/>
        <item x="288"/>
        <item x="9"/>
        <item x="441"/>
        <item x="379"/>
        <item x="166"/>
        <item x="227"/>
        <item x="315"/>
        <item x="50"/>
        <item x="130"/>
        <item x="185"/>
        <item x="242"/>
        <item x="86"/>
        <item x="413"/>
        <item x="330"/>
        <item x="21"/>
        <item x="280"/>
        <item x="451"/>
        <item x="268"/>
        <item x="97"/>
        <item x="376"/>
        <item x="261"/>
        <item x="200"/>
        <item x="399"/>
        <item x="201"/>
        <item x="55"/>
        <item x="262"/>
        <item x="247"/>
        <item x="354"/>
        <item x="321"/>
        <item x="112"/>
        <item x="110"/>
        <item x="184"/>
        <item x="28"/>
        <item x="11"/>
        <item x="450"/>
        <item x="263"/>
        <item x="256"/>
        <item x="123"/>
        <item x="149"/>
        <item x="19"/>
        <item x="442"/>
        <item x="42"/>
        <item x="302"/>
        <item x="358"/>
        <item x="169"/>
        <item x="77"/>
        <item x="395"/>
        <item x="291"/>
        <item x="415"/>
        <item x="375"/>
        <item x="53"/>
        <item x="265"/>
        <item x="331"/>
        <item x="279"/>
        <item x="448"/>
        <item x="367"/>
        <item x="142"/>
        <item x="424"/>
        <item x="121"/>
        <item x="52"/>
        <item x="398"/>
        <item x="190"/>
        <item x="389"/>
        <item x="307"/>
        <item x="66"/>
        <item x="312"/>
        <item x="0"/>
        <item x="84"/>
        <item x="134"/>
        <item x="103"/>
        <item x="274"/>
        <item x="215"/>
        <item x="75"/>
        <item x="23"/>
        <item x="229"/>
        <item x="214"/>
        <item x="382"/>
        <item x="100"/>
        <item x="267"/>
        <item x="207"/>
        <item x="164"/>
        <item x="60"/>
        <item x="452"/>
        <item x="295"/>
        <item x="366"/>
        <item x="328"/>
        <item x="293"/>
        <item x="446"/>
        <item x="197"/>
        <item x="72"/>
        <item x="175"/>
        <item x="391"/>
        <item x="213"/>
        <item x="257"/>
        <item x="8"/>
        <item x="373"/>
        <item x="351"/>
        <item x="122"/>
        <item x="133"/>
        <item x="74"/>
        <item x="88"/>
        <item x="306"/>
        <item x="85"/>
        <item x="171"/>
        <item x="318"/>
        <item x="431"/>
        <item x="407"/>
        <item x="241"/>
        <item x="32"/>
        <item x="467"/>
        <item x="24"/>
        <item x="289"/>
        <item x="57"/>
        <item x="316"/>
        <item x="432"/>
        <item x="189"/>
        <item x="361"/>
        <item x="173"/>
      </items>
    </pivotField>
    <pivotField showAll="0" defaultSubtotal="0"/>
    <pivotField axis="axisRow" showAll="0" defaultSubtotal="0">
      <items count="6">
        <item x="4"/>
        <item x="5"/>
        <item x="1"/>
        <item x="0"/>
        <item x="2"/>
        <item x="3"/>
      </items>
    </pivotField>
    <pivotField showAll="0" defaultSubtotal="0"/>
    <pivotField showAll="0" defaultSubtotal="0"/>
    <pivotField numFmtId="44" showAll="0" defaultSubtotal="0"/>
    <pivotField numFmtId="44" showAll="0" defaultSubtotal="0"/>
    <pivotField showAll="0" defaultSubtotal="0"/>
    <pivotField showAll="0" defaultSubtotal="0"/>
    <pivotField showAll="0" defaultSubtotal="0"/>
    <pivotField dataField="1" numFmtId="44" showAll="0" defaultSubtotal="0">
      <items count="777">
        <item x="61"/>
        <item x="280"/>
        <item x="707"/>
        <item x="700"/>
        <item x="564"/>
        <item x="521"/>
        <item x="154"/>
        <item x="63"/>
        <item x="47"/>
        <item x="152"/>
        <item x="710"/>
        <item x="356"/>
        <item x="469"/>
        <item x="34"/>
        <item x="129"/>
        <item x="453"/>
        <item x="68"/>
        <item x="385"/>
        <item x="624"/>
        <item x="465"/>
        <item x="374"/>
        <item x="365"/>
        <item x="403"/>
        <item x="527"/>
        <item x="483"/>
        <item x="431"/>
        <item x="30"/>
        <item x="435"/>
        <item x="67"/>
        <item x="664"/>
        <item x="461"/>
        <item x="82"/>
        <item x="198"/>
        <item x="652"/>
        <item x="373"/>
        <item x="516"/>
        <item x="319"/>
        <item x="201"/>
        <item x="672"/>
        <item x="27"/>
        <item x="19"/>
        <item x="763"/>
        <item x="523"/>
        <item x="434"/>
        <item x="585"/>
        <item x="427"/>
        <item x="751"/>
        <item x="498"/>
        <item x="572"/>
        <item x="718"/>
        <item x="383"/>
        <item x="717"/>
        <item x="492"/>
        <item x="476"/>
        <item x="447"/>
        <item x="75"/>
        <item x="549"/>
        <item x="234"/>
        <item x="759"/>
        <item x="83"/>
        <item x="539"/>
        <item x="330"/>
        <item x="344"/>
        <item x="768"/>
        <item x="545"/>
        <item x="207"/>
        <item x="147"/>
        <item x="351"/>
        <item x="302"/>
        <item x="181"/>
        <item x="155"/>
        <item x="361"/>
        <item x="179"/>
        <item x="297"/>
        <item x="315"/>
        <item x="355"/>
        <item x="49"/>
        <item x="105"/>
        <item x="629"/>
        <item x="131"/>
        <item x="321"/>
        <item x="490"/>
        <item x="746"/>
        <item x="9"/>
        <item x="51"/>
        <item x="359"/>
        <item x="635"/>
        <item x="282"/>
        <item x="267"/>
        <item x="568"/>
        <item x="551"/>
        <item x="390"/>
        <item x="279"/>
        <item x="621"/>
        <item x="473"/>
        <item x="77"/>
        <item x="428"/>
        <item x="456"/>
        <item x="638"/>
        <item x="305"/>
        <item x="457"/>
        <item x="255"/>
        <item x="677"/>
        <item x="194"/>
        <item x="579"/>
        <item x="100"/>
        <item x="137"/>
        <item x="124"/>
        <item x="546"/>
        <item x="412"/>
        <item x="204"/>
        <item x="565"/>
        <item x="574"/>
        <item x="443"/>
        <item x="166"/>
        <item x="106"/>
        <item x="437"/>
        <item x="640"/>
        <item x="287"/>
        <item x="341"/>
        <item x="482"/>
        <item x="146"/>
        <item x="593"/>
        <item x="350"/>
        <item x="391"/>
        <item x="184"/>
        <item x="101"/>
        <item x="441"/>
        <item x="642"/>
        <item x="658"/>
        <item x="586"/>
        <item x="578"/>
        <item x="499"/>
        <item x="231"/>
        <item x="167"/>
        <item x="669"/>
        <item x="119"/>
        <item x="505"/>
        <item x="241"/>
        <item x="300"/>
        <item x="370"/>
        <item x="470"/>
        <item x="88"/>
        <item x="335"/>
        <item x="526"/>
        <item x="40"/>
        <item x="203"/>
        <item x="537"/>
        <item x="510"/>
        <item x="117"/>
        <item x="310"/>
        <item x="573"/>
        <item x="559"/>
        <item x="531"/>
        <item x="348"/>
        <item x="486"/>
        <item x="327"/>
        <item x="96"/>
        <item x="536"/>
        <item x="529"/>
        <item x="177"/>
        <item x="622"/>
        <item x="263"/>
        <item x="548"/>
        <item x="31"/>
        <item x="150"/>
        <item x="489"/>
        <item x="439"/>
        <item x="190"/>
        <item x="475"/>
        <item x="726"/>
        <item x="610"/>
        <item x="50"/>
        <item x="45"/>
        <item x="739"/>
        <item x="764"/>
        <item x="591"/>
        <item x="219"/>
        <item x="107"/>
        <item x="474"/>
        <item x="556"/>
        <item x="524"/>
        <item x="39"/>
        <item x="180"/>
        <item x="0"/>
        <item x="183"/>
        <item x="254"/>
        <item x="757"/>
        <item x="185"/>
        <item x="450"/>
        <item x="487"/>
        <item x="687"/>
        <item x="479"/>
        <item x="193"/>
        <item x="446"/>
        <item x="771"/>
        <item x="303"/>
        <item x="313"/>
        <item x="535"/>
        <item x="750"/>
        <item x="292"/>
        <item x="515"/>
        <item x="646"/>
        <item x="148"/>
        <item x="619"/>
        <item x="684"/>
        <item x="686"/>
        <item x="775"/>
        <item x="143"/>
        <item x="352"/>
        <item x="278"/>
        <item x="662"/>
        <item x="35"/>
        <item x="422"/>
        <item x="65"/>
        <item x="415"/>
        <item x="698"/>
        <item x="723"/>
        <item x="153"/>
        <item x="468"/>
        <item x="69"/>
        <item x="363"/>
        <item x="663"/>
        <item x="189"/>
        <item x="25"/>
        <item x="674"/>
        <item x="604"/>
        <item x="406"/>
        <item x="424"/>
        <item x="654"/>
        <item x="23"/>
        <item x="249"/>
        <item x="366"/>
        <item x="458"/>
        <item x="396"/>
        <item x="773"/>
        <item x="216"/>
        <item x="122"/>
        <item x="281"/>
        <item x="235"/>
        <item x="696"/>
        <item x="756"/>
        <item x="284"/>
        <item x="372"/>
        <item x="719"/>
        <item x="195"/>
        <item x="196"/>
        <item x="306"/>
        <item x="295"/>
        <item x="625"/>
        <item x="293"/>
        <item x="103"/>
        <item x="197"/>
        <item x="637"/>
        <item x="178"/>
        <item x="378"/>
        <item x="691"/>
        <item x="273"/>
        <item x="317"/>
        <item x="84"/>
        <item x="110"/>
        <item x="118"/>
        <item x="343"/>
        <item x="353"/>
        <item x="517"/>
        <item x="320"/>
        <item x="423"/>
        <item x="379"/>
        <item x="161"/>
        <item x="418"/>
        <item x="699"/>
        <item x="24"/>
        <item x="478"/>
        <item x="547"/>
        <item x="409"/>
        <item x="225"/>
        <item x="248"/>
        <item x="709"/>
        <item x="125"/>
        <item x="375"/>
        <item x="220"/>
        <item x="388"/>
        <item x="345"/>
        <item x="21"/>
        <item x="332"/>
        <item x="493"/>
        <item x="173"/>
        <item x="339"/>
        <item x="157"/>
        <item x="113"/>
        <item x="261"/>
        <item x="705"/>
        <item x="325"/>
        <item x="20"/>
        <item x="381"/>
        <item x="543"/>
        <item x="657"/>
        <item x="555"/>
        <item x="246"/>
        <item x="367"/>
        <item x="599"/>
        <item x="433"/>
        <item x="338"/>
        <item x="623"/>
        <item x="245"/>
        <item x="601"/>
        <item x="678"/>
        <item x="304"/>
        <item x="162"/>
        <item x="285"/>
        <item x="466"/>
        <item x="7"/>
        <item x="651"/>
        <item x="588"/>
        <item x="737"/>
        <item x="309"/>
        <item x="449"/>
        <item x="208"/>
        <item x="644"/>
        <item x="558"/>
        <item x="507"/>
        <item x="240"/>
        <item x="471"/>
        <item x="134"/>
        <item x="128"/>
        <item x="419"/>
        <item x="169"/>
        <item x="611"/>
        <item x="233"/>
        <item x="752"/>
        <item x="727"/>
        <item x="324"/>
        <item x="430"/>
        <item x="258"/>
        <item x="645"/>
        <item x="400"/>
        <item x="666"/>
        <item x="294"/>
        <item x="425"/>
        <item x="217"/>
        <item x="502"/>
        <item x="774"/>
        <item x="97"/>
        <item x="188"/>
        <item x="467"/>
        <item x="688"/>
        <item x="702"/>
        <item x="408"/>
        <item x="639"/>
        <item x="542"/>
        <item x="755"/>
        <item x="81"/>
        <item x="627"/>
        <item x="633"/>
        <item x="747"/>
        <item x="289"/>
        <item x="57"/>
        <item x="395"/>
        <item x="417"/>
        <item x="566"/>
        <item x="228"/>
        <item x="732"/>
        <item x="145"/>
        <item x="160"/>
        <item x="191"/>
        <item x="660"/>
        <item x="41"/>
        <item x="130"/>
        <item x="584"/>
        <item x="480"/>
        <item x="667"/>
        <item x="256"/>
        <item x="735"/>
        <item x="259"/>
        <item x="734"/>
        <item x="607"/>
        <item x="91"/>
        <item x="722"/>
        <item x="72"/>
        <item x="80"/>
        <item x="299"/>
        <item x="266"/>
        <item x="685"/>
        <item x="48"/>
        <item x="364"/>
        <item x="272"/>
        <item x="17"/>
        <item x="102"/>
        <item x="420"/>
        <item x="501"/>
        <item x="175"/>
        <item x="247"/>
        <item x="557"/>
        <item x="70"/>
        <item x="209"/>
        <item x="659"/>
        <item x="413"/>
        <item x="312"/>
        <item x="766"/>
        <item x="218"/>
        <item x="730"/>
        <item x="251"/>
        <item x="460"/>
        <item x="612"/>
        <item x="221"/>
        <item x="158"/>
        <item x="682"/>
        <item x="758"/>
        <item x="211"/>
        <item x="239"/>
        <item x="577"/>
        <item x="445"/>
        <item x="212"/>
        <item x="706"/>
        <item x="392"/>
        <item x="32"/>
        <item x="724"/>
        <item x="491"/>
        <item x="609"/>
        <item x="78"/>
        <item x="126"/>
        <item x="257"/>
        <item x="525"/>
        <item x="464"/>
        <item x="603"/>
        <item x="171"/>
        <item x="73"/>
        <item x="176"/>
        <item x="192"/>
        <item x="643"/>
        <item x="676"/>
        <item x="142"/>
        <item x="554"/>
        <item x="472"/>
        <item x="316"/>
        <item x="630"/>
        <item x="552"/>
        <item x="136"/>
        <item x="567"/>
        <item x="675"/>
        <item x="680"/>
        <item x="733"/>
        <item x="170"/>
        <item x="494"/>
        <item x="399"/>
        <item x="340"/>
        <item x="59"/>
        <item x="569"/>
        <item x="213"/>
        <item x="421"/>
        <item x="276"/>
        <item x="511"/>
        <item x="690"/>
        <item x="1"/>
        <item x="331"/>
        <item x="560"/>
        <item x="314"/>
        <item x="133"/>
        <item x="260"/>
        <item x="290"/>
        <item x="66"/>
        <item x="414"/>
        <item x="26"/>
        <item x="186"/>
        <item x="232"/>
        <item x="223"/>
        <item x="522"/>
        <item x="571"/>
        <item x="648"/>
        <item x="229"/>
        <item x="291"/>
        <item x="268"/>
        <item x="712"/>
        <item x="506"/>
        <item x="583"/>
        <item x="769"/>
        <item x="174"/>
        <item x="703"/>
        <item x="553"/>
        <item x="617"/>
        <item x="753"/>
        <item x="745"/>
        <item x="33"/>
        <item x="528"/>
        <item x="570"/>
        <item x="455"/>
        <item x="590"/>
        <item x="580"/>
        <item x="393"/>
        <item x="369"/>
        <item x="500"/>
        <item x="720"/>
        <item x="440"/>
        <item x="410"/>
        <item x="277"/>
        <item x="716"/>
        <item x="60"/>
        <item x="22"/>
        <item x="520"/>
        <item x="477"/>
        <item x="605"/>
        <item x="748"/>
        <item x="454"/>
        <item x="182"/>
        <item x="436"/>
        <item x="616"/>
        <item x="16"/>
        <item x="416"/>
        <item x="634"/>
        <item x="43"/>
        <item x="139"/>
        <item x="92"/>
        <item x="519"/>
        <item x="115"/>
        <item x="744"/>
        <item x="214"/>
        <item x="8"/>
        <item x="56"/>
        <item x="595"/>
        <item x="357"/>
        <item x="462"/>
        <item x="151"/>
        <item x="230"/>
        <item x="770"/>
        <item x="602"/>
        <item x="620"/>
        <item x="93"/>
        <item x="760"/>
        <item x="111"/>
        <item x="671"/>
        <item x="697"/>
        <item x="44"/>
        <item x="708"/>
        <item x="98"/>
        <item x="772"/>
        <item x="226"/>
        <item x="728"/>
        <item x="4"/>
        <item x="298"/>
        <item x="120"/>
        <item x="337"/>
        <item x="5"/>
        <item x="36"/>
        <item x="165"/>
        <item x="738"/>
        <item x="222"/>
        <item x="608"/>
        <item x="29"/>
        <item x="163"/>
        <item x="740"/>
        <item x="533"/>
        <item x="704"/>
        <item x="649"/>
        <item x="405"/>
        <item x="265"/>
        <item x="15"/>
        <item x="514"/>
        <item x="286"/>
        <item x="532"/>
        <item x="673"/>
        <item x="631"/>
        <item x="407"/>
        <item x="448"/>
        <item x="141"/>
        <item x="596"/>
        <item x="86"/>
        <item x="661"/>
        <item x="729"/>
        <item x="253"/>
        <item x="714"/>
        <item x="575"/>
        <item x="54"/>
        <item x="518"/>
        <item x="711"/>
        <item x="398"/>
        <item x="371"/>
        <item x="112"/>
        <item x="426"/>
        <item x="329"/>
        <item x="37"/>
        <item x="592"/>
        <item x="62"/>
        <item x="628"/>
        <item x="504"/>
        <item x="538"/>
        <item x="55"/>
        <item x="2"/>
        <item x="452"/>
        <item x="71"/>
        <item x="429"/>
        <item x="224"/>
        <item x="13"/>
        <item x="632"/>
        <item x="6"/>
        <item x="243"/>
        <item x="641"/>
        <item x="237"/>
        <item x="336"/>
        <item x="135"/>
        <item x="116"/>
        <item x="238"/>
        <item x="382"/>
        <item x="123"/>
        <item x="495"/>
        <item x="444"/>
        <item x="362"/>
        <item x="85"/>
        <item x="401"/>
        <item x="484"/>
        <item x="761"/>
        <item x="140"/>
        <item x="283"/>
        <item x="721"/>
        <item x="451"/>
        <item x="655"/>
        <item x="87"/>
        <item x="326"/>
        <item x="668"/>
        <item x="46"/>
        <item x="318"/>
        <item x="600"/>
        <item x="210"/>
        <item x="481"/>
        <item x="576"/>
        <item x="127"/>
        <item x="742"/>
        <item x="679"/>
        <item x="606"/>
        <item x="614"/>
        <item x="288"/>
        <item x="670"/>
        <item x="562"/>
        <item x="308"/>
        <item x="581"/>
        <item x="512"/>
        <item x="503"/>
        <item x="496"/>
        <item x="74"/>
        <item x="334"/>
        <item x="144"/>
        <item x="159"/>
        <item x="28"/>
        <item x="89"/>
        <item x="328"/>
        <item x="311"/>
        <item x="250"/>
        <item x="42"/>
        <item x="301"/>
        <item x="597"/>
        <item x="589"/>
        <item x="242"/>
        <item x="561"/>
        <item x="347"/>
        <item x="206"/>
        <item x="540"/>
        <item x="264"/>
        <item x="346"/>
        <item x="463"/>
        <item x="95"/>
        <item x="544"/>
        <item x="199"/>
        <item x="650"/>
        <item x="322"/>
        <item x="541"/>
        <item x="715"/>
        <item x="227"/>
        <item x="749"/>
        <item x="132"/>
        <item x="683"/>
        <item x="274"/>
        <item x="164"/>
        <item x="626"/>
        <item x="149"/>
        <item x="767"/>
        <item x="731"/>
        <item x="244"/>
        <item x="725"/>
        <item x="202"/>
        <item x="582"/>
        <item x="741"/>
        <item x="358"/>
        <item x="442"/>
        <item x="156"/>
        <item x="488"/>
        <item x="387"/>
        <item x="386"/>
        <item x="377"/>
        <item x="138"/>
        <item x="236"/>
        <item x="534"/>
        <item x="743"/>
        <item x="108"/>
        <item x="389"/>
        <item x="271"/>
        <item x="76"/>
        <item x="694"/>
        <item x="693"/>
        <item x="636"/>
        <item x="394"/>
        <item x="384"/>
        <item x="459"/>
        <item x="485"/>
        <item x="765"/>
        <item x="52"/>
        <item x="618"/>
        <item x="563"/>
        <item x="368"/>
        <item x="38"/>
        <item x="187"/>
        <item x="53"/>
        <item x="90"/>
        <item x="215"/>
        <item x="647"/>
        <item x="64"/>
        <item x="530"/>
        <item x="615"/>
        <item x="432"/>
        <item x="3"/>
        <item x="509"/>
        <item x="689"/>
        <item x="656"/>
        <item x="200"/>
        <item x="754"/>
        <item x="354"/>
        <item x="323"/>
        <item x="333"/>
        <item x="360"/>
        <item x="550"/>
        <item x="296"/>
        <item x="99"/>
        <item x="269"/>
        <item x="58"/>
        <item x="497"/>
        <item x="701"/>
        <item x="262"/>
        <item x="692"/>
        <item x="508"/>
        <item x="653"/>
        <item x="79"/>
        <item x="18"/>
        <item x="402"/>
        <item x="513"/>
        <item x="404"/>
        <item x="121"/>
        <item x="205"/>
        <item x="594"/>
        <item x="376"/>
        <item x="736"/>
        <item x="349"/>
        <item x="665"/>
        <item x="94"/>
        <item x="307"/>
        <item x="713"/>
        <item x="114"/>
        <item x="380"/>
        <item x="397"/>
        <item x="438"/>
        <item x="270"/>
        <item x="762"/>
        <item x="275"/>
        <item x="587"/>
        <item x="411"/>
        <item x="168"/>
        <item x="109"/>
        <item x="342"/>
        <item x="104"/>
        <item x="613"/>
        <item x="681"/>
        <item x="252"/>
        <item x="172"/>
        <item x="776"/>
        <item x="598"/>
        <item x="695"/>
        <item x="14"/>
        <item x="10"/>
        <item x="12"/>
        <item x="11"/>
      </items>
    </pivotField>
    <pivotField numFmtId="44" showAll="0" defaultSubtotal="0"/>
    <pivotField numFmtId="44" showAll="0" defaultSubtotal="0"/>
    <pivotField numFmtId="9" showAll="0" defaultSubtotal="0"/>
    <pivotField numFmtId="9" showAll="0" defaultSubtotal="0"/>
    <pivotField showAll="0" defaultSubtotal="0"/>
    <pivotField subtotalTop="0"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4"/>
  </rowFields>
  <rowItems count="6">
    <i>
      <x/>
    </i>
    <i>
      <x v="1"/>
    </i>
    <i>
      <x v="2"/>
    </i>
    <i>
      <x v="3"/>
    </i>
    <i>
      <x v="4"/>
    </i>
    <i>
      <x v="5"/>
    </i>
  </rowItems>
  <colItems count="1">
    <i/>
  </colItems>
  <dataFields count="1">
    <dataField name="Sum of  Total_Spend " fld="12" baseField="0" baseItem="0" numFmtId="44"/>
  </dataFields>
  <chartFormats count="7">
    <chartFormat chart="42" format="9" series="1">
      <pivotArea type="data" outline="0" fieldPosition="0">
        <references count="1">
          <reference field="4294967294" count="1" selected="0">
            <x v="0"/>
          </reference>
        </references>
      </pivotArea>
    </chartFormat>
    <chartFormat chart="42" format="10">
      <pivotArea type="data" outline="0" fieldPosition="0">
        <references count="2">
          <reference field="4294967294" count="1" selected="0">
            <x v="0"/>
          </reference>
          <reference field="4" count="1" selected="0">
            <x v="0"/>
          </reference>
        </references>
      </pivotArea>
    </chartFormat>
    <chartFormat chart="42" format="11">
      <pivotArea type="data" outline="0" fieldPosition="0">
        <references count="2">
          <reference field="4294967294" count="1" selected="0">
            <x v="0"/>
          </reference>
          <reference field="4" count="1" selected="0">
            <x v="1"/>
          </reference>
        </references>
      </pivotArea>
    </chartFormat>
    <chartFormat chart="42" format="12">
      <pivotArea type="data" outline="0" fieldPosition="0">
        <references count="2">
          <reference field="4294967294" count="1" selected="0">
            <x v="0"/>
          </reference>
          <reference field="4" count="1" selected="0">
            <x v="2"/>
          </reference>
        </references>
      </pivotArea>
    </chartFormat>
    <chartFormat chart="42" format="13">
      <pivotArea type="data" outline="0" fieldPosition="0">
        <references count="2">
          <reference field="4294967294" count="1" selected="0">
            <x v="0"/>
          </reference>
          <reference field="4" count="1" selected="0">
            <x v="3"/>
          </reference>
        </references>
      </pivotArea>
    </chartFormat>
    <chartFormat chart="42" format="14">
      <pivotArea type="data" outline="0" fieldPosition="0">
        <references count="2">
          <reference field="4294967294" count="1" selected="0">
            <x v="0"/>
          </reference>
          <reference field="4" count="1" selected="0">
            <x v="4"/>
          </reference>
        </references>
      </pivotArea>
    </chartFormat>
    <chartFormat chart="42" format="15">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28A76E-4987-4A3D-9206-10F3B21563C4}" name="PivotTable4" cacheId="13" applyNumberFormats="0" applyBorderFormats="0" applyFontFormats="0" applyPatternFormats="0" applyAlignmentFormats="0" applyWidthHeightFormats="1" dataCaption="Values" updatedVersion="8" minRefreshableVersion="5" rowGrandTotals="0" colGrandTotals="0" itemPrintTitles="1" createdVersion="8" indent="0" multipleFieldFilters="0" chartFormat="38" colHeaderCaption="Performance">
  <location ref="Y6:Z9" firstHeaderRow="1" firstDataRow="1" firstDataCol="1"/>
  <pivotFields count="21">
    <pivotField showAll="0" defaultSubtotal="0"/>
    <pivotField showAll="0" defaultSubtotal="0">
      <items count="5">
        <item x="0"/>
        <item x="3"/>
        <item x="1"/>
        <item x="4"/>
        <item x="2"/>
      </items>
    </pivotField>
    <pivotField numFmtId="14" showAll="0" defaultSubtotal="0">
      <items count="475">
        <item x="148"/>
        <item x="362"/>
        <item x="237"/>
        <item x="137"/>
        <item x="404"/>
        <item x="30"/>
        <item x="187"/>
        <item x="292"/>
        <item x="278"/>
        <item x="131"/>
        <item x="231"/>
        <item x="152"/>
        <item x="439"/>
        <item x="183"/>
        <item x="346"/>
        <item x="2"/>
        <item x="472"/>
        <item x="20"/>
        <item x="353"/>
        <item x="445"/>
        <item x="14"/>
        <item x="465"/>
        <item x="13"/>
        <item x="320"/>
        <item x="339"/>
        <item x="264"/>
        <item x="464"/>
        <item x="325"/>
        <item x="44"/>
        <item x="309"/>
        <item x="59"/>
        <item x="394"/>
        <item x="118"/>
        <item x="228"/>
        <item x="90"/>
        <item x="462"/>
        <item x="212"/>
        <item x="250"/>
        <item x="156"/>
        <item x="191"/>
        <item x="217"/>
        <item x="436"/>
        <item x="124"/>
        <item x="95"/>
        <item x="192"/>
        <item x="160"/>
        <item x="58"/>
        <item x="188"/>
        <item x="76"/>
        <item x="277"/>
        <item x="282"/>
        <item x="225"/>
        <item x="426"/>
        <item x="49"/>
        <item x="63"/>
        <item x="254"/>
        <item x="266"/>
        <item x="453"/>
        <item x="386"/>
        <item x="158"/>
        <item x="10"/>
        <item x="117"/>
        <item x="37"/>
        <item x="15"/>
        <item x="206"/>
        <item x="39"/>
        <item x="216"/>
        <item x="281"/>
        <item x="64"/>
        <item x="7"/>
        <item x="329"/>
        <item x="296"/>
        <item x="141"/>
        <item x="299"/>
        <item x="337"/>
        <item x="220"/>
        <item x="119"/>
        <item x="1"/>
        <item x="132"/>
        <item x="298"/>
        <item x="260"/>
        <item x="179"/>
        <item x="410"/>
        <item x="47"/>
        <item x="162"/>
        <item x="466"/>
        <item x="324"/>
        <item x="163"/>
        <item x="311"/>
        <item x="273"/>
        <item x="199"/>
        <item x="412"/>
        <item x="297"/>
        <item x="454"/>
        <item x="114"/>
        <item x="6"/>
        <item x="222"/>
        <item x="105"/>
        <item x="393"/>
        <item x="322"/>
        <item x="319"/>
        <item x="428"/>
        <item x="120"/>
        <item x="244"/>
        <item x="34"/>
        <item x="136"/>
        <item x="419"/>
        <item x="31"/>
        <item x="145"/>
        <item x="68"/>
        <item x="80"/>
        <item x="236"/>
        <item x="167"/>
        <item x="233"/>
        <item x="470"/>
        <item x="385"/>
        <item x="78"/>
        <item x="374"/>
        <item x="406"/>
        <item x="332"/>
        <item x="139"/>
        <item x="334"/>
        <item x="456"/>
        <item x="223"/>
        <item x="255"/>
        <item x="205"/>
        <item x="56"/>
        <item x="347"/>
        <item x="400"/>
        <item x="364"/>
        <item x="22"/>
        <item x="342"/>
        <item x="172"/>
        <item x="305"/>
        <item x="271"/>
        <item x="437"/>
        <item x="71"/>
        <item x="303"/>
        <item x="96"/>
        <item x="99"/>
        <item x="235"/>
        <item x="198"/>
        <item x="35"/>
        <item x="246"/>
        <item x="16"/>
        <item x="87"/>
        <item x="26"/>
        <item x="341"/>
        <item x="5"/>
        <item x="463"/>
        <item x="181"/>
        <item x="61"/>
        <item x="91"/>
        <item x="186"/>
        <item x="429"/>
        <item x="17"/>
        <item x="258"/>
        <item x="232"/>
        <item x="195"/>
        <item x="272"/>
        <item x="155"/>
        <item x="157"/>
        <item x="203"/>
        <item x="403"/>
        <item x="4"/>
        <item x="107"/>
        <item x="180"/>
        <item x="221"/>
        <item x="224"/>
        <item x="129"/>
        <item x="461"/>
        <item x="360"/>
        <item x="468"/>
        <item x="421"/>
        <item x="457"/>
        <item x="270"/>
        <item x="313"/>
        <item x="109"/>
        <item x="43"/>
        <item x="106"/>
        <item x="73"/>
        <item x="94"/>
        <item x="83"/>
        <item x="300"/>
        <item x="444"/>
        <item x="3"/>
        <item x="308"/>
        <item x="29"/>
        <item x="196"/>
        <item x="301"/>
        <item x="387"/>
        <item x="287"/>
        <item x="240"/>
        <item x="381"/>
        <item x="62"/>
        <item x="51"/>
        <item x="371"/>
        <item x="245"/>
        <item x="143"/>
        <item x="294"/>
        <item x="275"/>
        <item x="377"/>
        <item x="290"/>
        <item x="380"/>
        <item x="345"/>
        <item x="154"/>
        <item x="326"/>
        <item x="368"/>
        <item x="392"/>
        <item x="471"/>
        <item x="174"/>
        <item x="249"/>
        <item x="98"/>
        <item x="92"/>
        <item x="414"/>
        <item x="427"/>
        <item x="383"/>
        <item x="150"/>
        <item x="89"/>
        <item x="370"/>
        <item x="458"/>
        <item x="348"/>
        <item x="193"/>
        <item x="352"/>
        <item x="335"/>
        <item x="310"/>
        <item x="390"/>
        <item x="36"/>
        <item x="459"/>
        <item x="182"/>
        <item x="219"/>
        <item x="33"/>
        <item x="304"/>
        <item x="41"/>
        <item x="356"/>
        <item x="285"/>
        <item x="344"/>
        <item x="349"/>
        <item x="440"/>
        <item x="209"/>
        <item x="70"/>
        <item x="327"/>
        <item x="40"/>
        <item x="54"/>
        <item x="153"/>
        <item x="365"/>
        <item x="67"/>
        <item x="469"/>
        <item x="286"/>
        <item x="69"/>
        <item x="144"/>
        <item x="473"/>
        <item x="48"/>
        <item x="82"/>
        <item x="38"/>
        <item x="126"/>
        <item x="338"/>
        <item x="430"/>
        <item x="401"/>
        <item x="125"/>
        <item x="438"/>
        <item x="238"/>
        <item x="449"/>
        <item x="102"/>
        <item x="474"/>
        <item x="113"/>
        <item x="350"/>
        <item x="93"/>
        <item x="218"/>
        <item x="259"/>
        <item x="447"/>
        <item x="378"/>
        <item x="204"/>
        <item x="433"/>
        <item x="369"/>
        <item x="210"/>
        <item x="336"/>
        <item x="333"/>
        <item x="397"/>
        <item x="435"/>
        <item x="25"/>
        <item x="372"/>
        <item x="460"/>
        <item x="12"/>
        <item x="170"/>
        <item x="405"/>
        <item x="417"/>
        <item x="317"/>
        <item x="111"/>
        <item x="323"/>
        <item x="208"/>
        <item x="355"/>
        <item x="135"/>
        <item x="357"/>
        <item x="176"/>
        <item x="425"/>
        <item x="314"/>
        <item x="226"/>
        <item x="418"/>
        <item x="27"/>
        <item x="420"/>
        <item x="178"/>
        <item x="65"/>
        <item x="239"/>
        <item x="396"/>
        <item x="411"/>
        <item x="276"/>
        <item x="104"/>
        <item x="45"/>
        <item x="343"/>
        <item x="455"/>
        <item x="81"/>
        <item x="409"/>
        <item x="384"/>
        <item x="434"/>
        <item x="211"/>
        <item x="127"/>
        <item x="340"/>
        <item x="202"/>
        <item x="165"/>
        <item x="251"/>
        <item x="234"/>
        <item x="423"/>
        <item x="159"/>
        <item x="243"/>
        <item x="443"/>
        <item x="151"/>
        <item x="116"/>
        <item x="402"/>
        <item x="101"/>
        <item x="138"/>
        <item x="252"/>
        <item x="416"/>
        <item x="18"/>
        <item x="284"/>
        <item x="140"/>
        <item x="253"/>
        <item x="115"/>
        <item x="359"/>
        <item x="194"/>
        <item x="388"/>
        <item x="177"/>
        <item x="408"/>
        <item x="363"/>
        <item x="422"/>
        <item x="269"/>
        <item x="168"/>
        <item x="128"/>
        <item x="147"/>
        <item x="161"/>
        <item x="79"/>
        <item x="46"/>
        <item x="283"/>
        <item x="108"/>
        <item x="146"/>
        <item x="230"/>
        <item x="248"/>
        <item x="288"/>
        <item x="9"/>
        <item x="441"/>
        <item x="379"/>
        <item x="166"/>
        <item x="227"/>
        <item x="315"/>
        <item x="50"/>
        <item x="130"/>
        <item x="185"/>
        <item x="242"/>
        <item x="86"/>
        <item x="413"/>
        <item x="330"/>
        <item x="21"/>
        <item x="280"/>
        <item x="451"/>
        <item x="268"/>
        <item x="97"/>
        <item x="376"/>
        <item x="261"/>
        <item x="200"/>
        <item x="399"/>
        <item x="201"/>
        <item x="55"/>
        <item x="262"/>
        <item x="247"/>
        <item x="354"/>
        <item x="321"/>
        <item x="112"/>
        <item x="110"/>
        <item x="184"/>
        <item x="28"/>
        <item x="11"/>
        <item x="450"/>
        <item x="263"/>
        <item x="256"/>
        <item x="123"/>
        <item x="149"/>
        <item x="19"/>
        <item x="442"/>
        <item x="42"/>
        <item x="302"/>
        <item x="358"/>
        <item x="169"/>
        <item x="77"/>
        <item x="395"/>
        <item x="291"/>
        <item x="415"/>
        <item x="375"/>
        <item x="53"/>
        <item x="265"/>
        <item x="331"/>
        <item x="279"/>
        <item x="448"/>
        <item x="367"/>
        <item x="142"/>
        <item x="424"/>
        <item x="121"/>
        <item x="52"/>
        <item x="398"/>
        <item x="190"/>
        <item x="389"/>
        <item x="307"/>
        <item x="66"/>
        <item x="312"/>
        <item x="0"/>
        <item x="84"/>
        <item x="134"/>
        <item x="103"/>
        <item x="274"/>
        <item x="215"/>
        <item x="75"/>
        <item x="23"/>
        <item x="229"/>
        <item x="214"/>
        <item x="382"/>
        <item x="100"/>
        <item x="267"/>
        <item x="207"/>
        <item x="164"/>
        <item x="60"/>
        <item x="452"/>
        <item x="295"/>
        <item x="366"/>
        <item x="328"/>
        <item x="293"/>
        <item x="446"/>
        <item x="197"/>
        <item x="72"/>
        <item x="175"/>
        <item x="391"/>
        <item x="213"/>
        <item x="257"/>
        <item x="8"/>
        <item x="373"/>
        <item x="351"/>
        <item x="122"/>
        <item x="133"/>
        <item x="74"/>
        <item x="88"/>
        <item x="306"/>
        <item x="85"/>
        <item x="171"/>
        <item x="318"/>
        <item x="431"/>
        <item x="407"/>
        <item x="241"/>
        <item x="32"/>
        <item x="467"/>
        <item x="24"/>
        <item x="289"/>
        <item x="57"/>
        <item x="316"/>
        <item x="432"/>
        <item x="189"/>
        <item x="361"/>
        <item x="173"/>
      </items>
    </pivotField>
    <pivotField showAll="0" defaultSubtotal="0"/>
    <pivotField showAll="0" defaultSubtotal="0"/>
    <pivotField showAll="0" defaultSubtotal="0"/>
    <pivotField showAll="0" defaultSubtotal="0"/>
    <pivotField numFmtId="44" showAll="0" defaultSubtotal="0"/>
    <pivotField numFmtId="44" showAll="0" defaultSubtotal="0"/>
    <pivotField showAll="0" defaultSubtotal="0"/>
    <pivotField showAll="0" defaultSubtotal="0"/>
    <pivotField showAll="0" defaultSubtotal="0"/>
    <pivotField dataField="1" numFmtId="44" showAll="0" defaultSubtotal="0"/>
    <pivotField numFmtId="44" showAll="0" defaultSubtotal="0"/>
    <pivotField numFmtId="44" showAll="0" defaultSubtotal="0"/>
    <pivotField numFmtId="9" showAll="0" defaultSubtotal="0"/>
    <pivotField numFmtId="9" showAll="0" defaultSubtotal="0"/>
    <pivotField showAll="0" defaultSubtotal="0"/>
    <pivotField subtotalTop="0" showAll="0" defaultSubtotal="0"/>
    <pivotField showAll="0" defaultSubtotal="0">
      <items count="14">
        <item x="0"/>
        <item x="1"/>
        <item x="2"/>
        <item x="3"/>
        <item x="4"/>
        <item x="5"/>
        <item x="6"/>
        <item x="7"/>
        <item x="8"/>
        <item x="9"/>
        <item x="10"/>
        <item x="11"/>
        <item x="12"/>
        <item x="13"/>
      </items>
    </pivotField>
    <pivotField axis="axisRow" showAll="0" defaultSubtotal="0">
      <items count="5">
        <item x="0"/>
        <item x="1"/>
        <item x="2"/>
        <item x="3"/>
        <item x="4"/>
      </items>
    </pivotField>
  </pivotFields>
  <rowFields count="1">
    <field x="20"/>
  </rowFields>
  <rowItems count="3">
    <i>
      <x v="1"/>
    </i>
    <i>
      <x v="2"/>
    </i>
    <i>
      <x v="3"/>
    </i>
  </rowItems>
  <colItems count="1">
    <i/>
  </colItems>
  <dataFields count="1">
    <dataField name="Annual Procurement Spend" fld="12" baseField="20" baseItem="1" numFmtId="44"/>
  </dataFields>
  <chartFormats count="6">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 chart="37" format="7">
      <pivotArea type="data" outline="0" fieldPosition="0">
        <references count="2">
          <reference field="4294967294" count="1" selected="0">
            <x v="0"/>
          </reference>
          <reference field="20" count="1" selected="0">
            <x v="1"/>
          </reference>
        </references>
      </pivotArea>
    </chartFormat>
    <chartFormat chart="37" format="8">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1A0400-9CC9-442D-B2F0-E01095B97BA0}" name="PivotTable1" cacheId="13" applyNumberFormats="0" applyBorderFormats="0" applyFontFormats="0" applyPatternFormats="0" applyAlignmentFormats="0" applyWidthHeightFormats="1" dataCaption="Values" updatedVersion="8" minRefreshableVersion="5" itemPrintTitles="1" createdVersion="8" indent="0" multipleFieldFilters="0" chartFormat="6" rowHeaderCaption="Supplier">
  <location ref="A2:G8" firstHeaderRow="0" firstDataRow="1" firstDataCol="1"/>
  <pivotFields count="21">
    <pivotField dataField="1" showAll="0"/>
    <pivotField axis="axisRow" showAll="0">
      <items count="6">
        <item x="0"/>
        <item x="3"/>
        <item x="1"/>
        <item x="4"/>
        <item x="2"/>
        <item t="default"/>
      </items>
    </pivotField>
    <pivotField numFmtId="14" showAll="0">
      <items count="476">
        <item x="148"/>
        <item x="362"/>
        <item x="237"/>
        <item x="137"/>
        <item x="404"/>
        <item x="30"/>
        <item x="187"/>
        <item x="292"/>
        <item x="278"/>
        <item x="131"/>
        <item x="231"/>
        <item x="152"/>
        <item x="439"/>
        <item x="183"/>
        <item x="346"/>
        <item x="2"/>
        <item x="472"/>
        <item x="20"/>
        <item x="353"/>
        <item x="445"/>
        <item x="14"/>
        <item x="465"/>
        <item x="13"/>
        <item x="320"/>
        <item x="339"/>
        <item x="264"/>
        <item x="464"/>
        <item x="325"/>
        <item x="44"/>
        <item x="309"/>
        <item x="59"/>
        <item x="394"/>
        <item x="118"/>
        <item x="228"/>
        <item x="90"/>
        <item x="462"/>
        <item x="212"/>
        <item x="250"/>
        <item x="156"/>
        <item x="191"/>
        <item x="217"/>
        <item x="436"/>
        <item x="124"/>
        <item x="95"/>
        <item x="192"/>
        <item x="160"/>
        <item x="58"/>
        <item x="188"/>
        <item x="76"/>
        <item x="277"/>
        <item x="282"/>
        <item x="225"/>
        <item x="426"/>
        <item x="49"/>
        <item x="63"/>
        <item x="254"/>
        <item x="266"/>
        <item x="453"/>
        <item x="386"/>
        <item x="158"/>
        <item x="10"/>
        <item x="117"/>
        <item x="37"/>
        <item x="15"/>
        <item x="206"/>
        <item x="39"/>
        <item x="216"/>
        <item x="281"/>
        <item x="64"/>
        <item x="7"/>
        <item x="329"/>
        <item x="296"/>
        <item x="141"/>
        <item x="299"/>
        <item x="337"/>
        <item x="220"/>
        <item x="119"/>
        <item x="1"/>
        <item x="132"/>
        <item x="298"/>
        <item x="260"/>
        <item x="179"/>
        <item x="410"/>
        <item x="47"/>
        <item x="162"/>
        <item x="466"/>
        <item x="324"/>
        <item x="163"/>
        <item x="311"/>
        <item x="273"/>
        <item x="199"/>
        <item x="412"/>
        <item x="297"/>
        <item x="454"/>
        <item x="114"/>
        <item x="6"/>
        <item x="222"/>
        <item x="105"/>
        <item x="393"/>
        <item x="322"/>
        <item x="319"/>
        <item x="428"/>
        <item x="120"/>
        <item x="244"/>
        <item x="34"/>
        <item x="136"/>
        <item x="419"/>
        <item x="31"/>
        <item x="145"/>
        <item x="68"/>
        <item x="80"/>
        <item x="236"/>
        <item x="167"/>
        <item x="233"/>
        <item x="470"/>
        <item x="385"/>
        <item x="78"/>
        <item x="374"/>
        <item x="406"/>
        <item x="332"/>
        <item x="139"/>
        <item x="334"/>
        <item x="456"/>
        <item x="223"/>
        <item x="255"/>
        <item x="205"/>
        <item x="56"/>
        <item x="347"/>
        <item x="400"/>
        <item x="364"/>
        <item x="22"/>
        <item x="342"/>
        <item x="172"/>
        <item x="305"/>
        <item x="271"/>
        <item x="437"/>
        <item x="71"/>
        <item x="303"/>
        <item x="96"/>
        <item x="99"/>
        <item x="235"/>
        <item x="198"/>
        <item x="35"/>
        <item x="246"/>
        <item x="16"/>
        <item x="87"/>
        <item x="26"/>
        <item x="341"/>
        <item x="5"/>
        <item x="463"/>
        <item x="181"/>
        <item x="61"/>
        <item x="91"/>
        <item x="186"/>
        <item x="429"/>
        <item x="17"/>
        <item x="258"/>
        <item x="232"/>
        <item x="195"/>
        <item x="272"/>
        <item x="155"/>
        <item x="157"/>
        <item x="203"/>
        <item x="403"/>
        <item x="4"/>
        <item x="107"/>
        <item x="180"/>
        <item x="221"/>
        <item x="224"/>
        <item x="129"/>
        <item x="461"/>
        <item x="360"/>
        <item x="468"/>
        <item x="421"/>
        <item x="457"/>
        <item x="270"/>
        <item x="313"/>
        <item x="109"/>
        <item x="43"/>
        <item x="106"/>
        <item x="73"/>
        <item x="94"/>
        <item x="83"/>
        <item x="300"/>
        <item x="444"/>
        <item x="3"/>
        <item x="308"/>
        <item x="29"/>
        <item x="196"/>
        <item x="301"/>
        <item x="387"/>
        <item x="287"/>
        <item x="240"/>
        <item x="381"/>
        <item x="62"/>
        <item x="51"/>
        <item x="371"/>
        <item x="245"/>
        <item x="143"/>
        <item x="294"/>
        <item x="275"/>
        <item x="377"/>
        <item x="290"/>
        <item x="380"/>
        <item x="345"/>
        <item x="154"/>
        <item x="326"/>
        <item x="368"/>
        <item x="392"/>
        <item x="471"/>
        <item x="174"/>
        <item x="249"/>
        <item x="98"/>
        <item x="92"/>
        <item x="414"/>
        <item x="427"/>
        <item x="383"/>
        <item x="150"/>
        <item x="89"/>
        <item x="370"/>
        <item x="458"/>
        <item x="348"/>
        <item x="193"/>
        <item x="352"/>
        <item x="335"/>
        <item x="310"/>
        <item x="390"/>
        <item x="36"/>
        <item x="459"/>
        <item x="182"/>
        <item x="219"/>
        <item x="33"/>
        <item x="304"/>
        <item x="41"/>
        <item x="356"/>
        <item x="285"/>
        <item x="344"/>
        <item x="349"/>
        <item x="440"/>
        <item x="209"/>
        <item x="70"/>
        <item x="327"/>
        <item x="40"/>
        <item x="54"/>
        <item x="153"/>
        <item x="365"/>
        <item x="67"/>
        <item x="469"/>
        <item x="286"/>
        <item x="69"/>
        <item x="144"/>
        <item x="473"/>
        <item x="48"/>
        <item x="82"/>
        <item x="38"/>
        <item x="126"/>
        <item x="338"/>
        <item x="430"/>
        <item x="401"/>
        <item x="125"/>
        <item x="438"/>
        <item x="238"/>
        <item x="449"/>
        <item x="102"/>
        <item x="474"/>
        <item x="113"/>
        <item x="350"/>
        <item x="93"/>
        <item x="218"/>
        <item x="259"/>
        <item x="447"/>
        <item x="378"/>
        <item x="204"/>
        <item x="433"/>
        <item x="369"/>
        <item x="210"/>
        <item x="336"/>
        <item x="333"/>
        <item x="397"/>
        <item x="435"/>
        <item x="25"/>
        <item x="372"/>
        <item x="460"/>
        <item x="12"/>
        <item x="170"/>
        <item x="405"/>
        <item x="417"/>
        <item x="317"/>
        <item x="111"/>
        <item x="323"/>
        <item x="208"/>
        <item x="355"/>
        <item x="135"/>
        <item x="357"/>
        <item x="176"/>
        <item x="425"/>
        <item x="314"/>
        <item x="226"/>
        <item x="418"/>
        <item x="27"/>
        <item x="420"/>
        <item x="178"/>
        <item x="65"/>
        <item x="239"/>
        <item x="396"/>
        <item x="411"/>
        <item x="276"/>
        <item x="104"/>
        <item x="45"/>
        <item x="343"/>
        <item x="455"/>
        <item x="81"/>
        <item x="409"/>
        <item x="384"/>
        <item x="434"/>
        <item x="211"/>
        <item x="127"/>
        <item x="340"/>
        <item x="202"/>
        <item x="165"/>
        <item x="251"/>
        <item x="234"/>
        <item x="423"/>
        <item x="159"/>
        <item x="243"/>
        <item x="443"/>
        <item x="151"/>
        <item x="116"/>
        <item x="402"/>
        <item x="101"/>
        <item x="138"/>
        <item x="252"/>
        <item x="416"/>
        <item x="18"/>
        <item x="284"/>
        <item x="140"/>
        <item x="253"/>
        <item x="115"/>
        <item x="359"/>
        <item x="194"/>
        <item x="388"/>
        <item x="177"/>
        <item x="408"/>
        <item x="363"/>
        <item x="422"/>
        <item x="269"/>
        <item x="168"/>
        <item x="128"/>
        <item x="147"/>
        <item x="161"/>
        <item x="79"/>
        <item x="46"/>
        <item x="283"/>
        <item x="108"/>
        <item x="146"/>
        <item x="230"/>
        <item x="248"/>
        <item x="288"/>
        <item x="9"/>
        <item x="441"/>
        <item x="379"/>
        <item x="166"/>
        <item x="227"/>
        <item x="315"/>
        <item x="50"/>
        <item x="130"/>
        <item x="185"/>
        <item x="242"/>
        <item x="86"/>
        <item x="413"/>
        <item x="330"/>
        <item x="21"/>
        <item x="280"/>
        <item x="451"/>
        <item x="268"/>
        <item x="97"/>
        <item x="376"/>
        <item x="261"/>
        <item x="200"/>
        <item x="399"/>
        <item x="201"/>
        <item x="55"/>
        <item x="262"/>
        <item x="247"/>
        <item x="354"/>
        <item x="321"/>
        <item x="112"/>
        <item x="110"/>
        <item x="184"/>
        <item x="28"/>
        <item x="11"/>
        <item x="450"/>
        <item x="263"/>
        <item x="256"/>
        <item x="123"/>
        <item x="149"/>
        <item x="19"/>
        <item x="442"/>
        <item x="42"/>
        <item x="302"/>
        <item x="358"/>
        <item x="169"/>
        <item x="77"/>
        <item x="395"/>
        <item x="291"/>
        <item x="415"/>
        <item x="375"/>
        <item x="53"/>
        <item x="265"/>
        <item x="331"/>
        <item x="279"/>
        <item x="448"/>
        <item x="367"/>
        <item x="142"/>
        <item x="424"/>
        <item x="121"/>
        <item x="52"/>
        <item x="398"/>
        <item x="190"/>
        <item x="389"/>
        <item x="307"/>
        <item x="66"/>
        <item x="312"/>
        <item x="0"/>
        <item x="84"/>
        <item x="134"/>
        <item x="103"/>
        <item x="274"/>
        <item x="215"/>
        <item x="75"/>
        <item x="23"/>
        <item x="229"/>
        <item x="214"/>
        <item x="382"/>
        <item x="100"/>
        <item x="267"/>
        <item x="207"/>
        <item x="164"/>
        <item x="60"/>
        <item x="452"/>
        <item x="295"/>
        <item x="366"/>
        <item x="328"/>
        <item x="293"/>
        <item x="446"/>
        <item x="197"/>
        <item x="72"/>
        <item x="175"/>
        <item x="391"/>
        <item x="213"/>
        <item x="257"/>
        <item x="8"/>
        <item x="373"/>
        <item x="351"/>
        <item x="122"/>
        <item x="133"/>
        <item x="74"/>
        <item x="88"/>
        <item x="306"/>
        <item x="85"/>
        <item x="171"/>
        <item x="318"/>
        <item x="431"/>
        <item x="407"/>
        <item x="241"/>
        <item x="32"/>
        <item x="467"/>
        <item x="24"/>
        <item x="289"/>
        <item x="57"/>
        <item x="316"/>
        <item x="432"/>
        <item x="189"/>
        <item x="361"/>
        <item x="173"/>
        <item t="default"/>
      </items>
    </pivotField>
    <pivotField showAll="0"/>
    <pivotField showAll="0"/>
    <pivotField showAll="0"/>
    <pivotField dataField="1" showAll="0"/>
    <pivotField numFmtId="44" showAll="0"/>
    <pivotField numFmtId="44" showAll="0"/>
    <pivotField dataField="1" showAll="0"/>
    <pivotField showAll="0"/>
    <pivotField dataField="1" showAll="0"/>
    <pivotField dataField="1" numFmtId="44" showAll="0"/>
    <pivotField numFmtId="44" showAll="0"/>
    <pivotField dataField="1" numFmtId="44" showAll="0"/>
    <pivotField numFmtId="9"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6">
    <i>
      <x/>
    </i>
    <i>
      <x v="1"/>
    </i>
    <i>
      <x v="2"/>
    </i>
    <i>
      <x v="3"/>
    </i>
    <i>
      <x v="4"/>
    </i>
    <i t="grand">
      <x/>
    </i>
  </rowItems>
  <colFields count="1">
    <field x="-2"/>
  </colFields>
  <colItems count="6">
    <i>
      <x/>
    </i>
    <i i="1">
      <x v="1"/>
    </i>
    <i i="2">
      <x v="2"/>
    </i>
    <i i="3">
      <x v="3"/>
    </i>
    <i i="4">
      <x v="4"/>
    </i>
    <i i="5">
      <x v="5"/>
    </i>
  </colItems>
  <dataFields count="6">
    <dataField name="Average of Lead_Time" fld="11" subtotal="average" baseField="0" baseItem="0"/>
    <dataField name="Orders" fld="0" subtotal="count" baseField="0" baseItem="0"/>
    <dataField name="Sum of Cost_Savings" fld="14" baseField="0" baseItem="0" numFmtId="44"/>
    <dataField name="Sum of Quantity" fld="6" baseField="0" baseItem="0"/>
    <dataField name="Sum of Defective_Units" fld="9" baseField="0" baseItem="0"/>
    <dataField name="Sum of  Total_Spend " fld="12" baseField="0" baseItem="0" numFmtId="44"/>
  </dataFields>
  <formats count="18">
    <format dxfId="317">
      <pivotArea type="all" dataOnly="0" outline="0" fieldPosition="0"/>
    </format>
    <format dxfId="316">
      <pivotArea outline="0" collapsedLevelsAreSubtotals="1" fieldPosition="0"/>
    </format>
    <format dxfId="315">
      <pivotArea field="1" type="button" dataOnly="0" labelOnly="1" outline="0" axis="axisRow" fieldPosition="0"/>
    </format>
    <format dxfId="314">
      <pivotArea dataOnly="0" labelOnly="1" fieldPosition="0">
        <references count="1">
          <reference field="1" count="0"/>
        </references>
      </pivotArea>
    </format>
    <format dxfId="313">
      <pivotArea dataOnly="0" labelOnly="1" grandRow="1" outline="0" fieldPosition="0"/>
    </format>
    <format dxfId="312">
      <pivotArea dataOnly="0" labelOnly="1" outline="0" fieldPosition="0">
        <references count="1">
          <reference field="4294967294" count="6">
            <x v="0"/>
            <x v="1"/>
            <x v="2"/>
            <x v="3"/>
            <x v="4"/>
            <x v="5"/>
          </reference>
        </references>
      </pivotArea>
    </format>
    <format dxfId="311">
      <pivotArea type="all" dataOnly="0" outline="0" fieldPosition="0"/>
    </format>
    <format dxfId="310">
      <pivotArea outline="0" collapsedLevelsAreSubtotals="1" fieldPosition="0"/>
    </format>
    <format dxfId="309">
      <pivotArea field="1" type="button" dataOnly="0" labelOnly="1" outline="0" axis="axisRow" fieldPosition="0"/>
    </format>
    <format dxfId="308">
      <pivotArea dataOnly="0" labelOnly="1" fieldPosition="0">
        <references count="1">
          <reference field="1" count="0"/>
        </references>
      </pivotArea>
    </format>
    <format dxfId="307">
      <pivotArea dataOnly="0" labelOnly="1" grandRow="1" outline="0" fieldPosition="0"/>
    </format>
    <format dxfId="306">
      <pivotArea dataOnly="0" labelOnly="1" outline="0" fieldPosition="0">
        <references count="1">
          <reference field="4294967294" count="6">
            <x v="0"/>
            <x v="1"/>
            <x v="2"/>
            <x v="3"/>
            <x v="4"/>
            <x v="5"/>
          </reference>
        </references>
      </pivotArea>
    </format>
    <format dxfId="305">
      <pivotArea type="all" dataOnly="0" outline="0" fieldPosition="0"/>
    </format>
    <format dxfId="304">
      <pivotArea outline="0" collapsedLevelsAreSubtotals="1" fieldPosition="0"/>
    </format>
    <format dxfId="303">
      <pivotArea field="1" type="button" dataOnly="0" labelOnly="1" outline="0" axis="axisRow" fieldPosition="0"/>
    </format>
    <format dxfId="302">
      <pivotArea dataOnly="0" labelOnly="1" fieldPosition="0">
        <references count="1">
          <reference field="1" count="0"/>
        </references>
      </pivotArea>
    </format>
    <format dxfId="301">
      <pivotArea dataOnly="0" labelOnly="1" grandRow="1" outline="0" fieldPosition="0"/>
    </format>
    <format dxfId="300">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CB8590-1961-470C-8B62-EAB16C34435D}" name="PivotTable2" cacheId="13" applyNumberFormats="0" applyBorderFormats="0" applyFontFormats="0" applyPatternFormats="0" applyAlignmentFormats="0" applyWidthHeightFormats="1" dataCaption="Values" updatedVersion="8" minRefreshableVersion="5" rowGrandTotals="0" colGrandTotals="0" itemPrintTitles="1" createdVersion="8" indent="0" multipleFieldFilters="0" chartFormat="24" colHeaderCaption="Performance">
  <location ref="K14:M42" firstHeaderRow="0" firstDataRow="1" firstDataCol="1"/>
  <pivotFields count="21">
    <pivotField showAll="0" defaultSubtotal="0"/>
    <pivotField showAll="0" defaultSubtotal="0">
      <items count="5">
        <item x="0"/>
        <item x="3"/>
        <item x="1"/>
        <item x="4"/>
        <item x="2"/>
      </items>
    </pivotField>
    <pivotField numFmtId="14" showAll="0" defaultSubtotal="0">
      <items count="475">
        <item x="148"/>
        <item x="362"/>
        <item x="237"/>
        <item x="137"/>
        <item x="404"/>
        <item x="30"/>
        <item x="187"/>
        <item x="292"/>
        <item x="278"/>
        <item x="131"/>
        <item x="231"/>
        <item x="152"/>
        <item x="439"/>
        <item x="183"/>
        <item x="346"/>
        <item x="2"/>
        <item x="472"/>
        <item x="20"/>
        <item x="353"/>
        <item x="445"/>
        <item x="14"/>
        <item x="465"/>
        <item x="13"/>
        <item x="320"/>
        <item x="339"/>
        <item x="264"/>
        <item x="464"/>
        <item x="325"/>
        <item x="44"/>
        <item x="309"/>
        <item x="59"/>
        <item x="394"/>
        <item x="118"/>
        <item x="228"/>
        <item x="90"/>
        <item x="462"/>
        <item x="212"/>
        <item x="250"/>
        <item x="156"/>
        <item x="191"/>
        <item x="217"/>
        <item x="436"/>
        <item x="124"/>
        <item x="95"/>
        <item x="192"/>
        <item x="160"/>
        <item x="58"/>
        <item x="188"/>
        <item x="76"/>
        <item x="277"/>
        <item x="282"/>
        <item x="225"/>
        <item x="426"/>
        <item x="49"/>
        <item x="63"/>
        <item x="254"/>
        <item x="266"/>
        <item x="453"/>
        <item x="386"/>
        <item x="158"/>
        <item x="10"/>
        <item x="117"/>
        <item x="37"/>
        <item x="15"/>
        <item x="206"/>
        <item x="39"/>
        <item x="216"/>
        <item x="281"/>
        <item x="64"/>
        <item x="7"/>
        <item x="329"/>
        <item x="296"/>
        <item x="141"/>
        <item x="299"/>
        <item x="337"/>
        <item x="220"/>
        <item x="119"/>
        <item x="1"/>
        <item x="132"/>
        <item x="298"/>
        <item x="260"/>
        <item x="179"/>
        <item x="410"/>
        <item x="47"/>
        <item x="162"/>
        <item x="466"/>
        <item x="324"/>
        <item x="163"/>
        <item x="311"/>
        <item x="273"/>
        <item x="199"/>
        <item x="412"/>
        <item x="297"/>
        <item x="454"/>
        <item x="114"/>
        <item x="6"/>
        <item x="222"/>
        <item x="105"/>
        <item x="393"/>
        <item x="322"/>
        <item x="319"/>
        <item x="428"/>
        <item x="120"/>
        <item x="244"/>
        <item x="34"/>
        <item x="136"/>
        <item x="419"/>
        <item x="31"/>
        <item x="145"/>
        <item x="68"/>
        <item x="80"/>
        <item x="236"/>
        <item x="167"/>
        <item x="233"/>
        <item x="470"/>
        <item x="385"/>
        <item x="78"/>
        <item x="374"/>
        <item x="406"/>
        <item x="332"/>
        <item x="139"/>
        <item x="334"/>
        <item x="456"/>
        <item x="223"/>
        <item x="255"/>
        <item x="205"/>
        <item x="56"/>
        <item x="347"/>
        <item x="400"/>
        <item x="364"/>
        <item x="22"/>
        <item x="342"/>
        <item x="172"/>
        <item x="305"/>
        <item x="271"/>
        <item x="437"/>
        <item x="71"/>
        <item x="303"/>
        <item x="96"/>
        <item x="99"/>
        <item x="235"/>
        <item x="198"/>
        <item x="35"/>
        <item x="246"/>
        <item x="16"/>
        <item x="87"/>
        <item x="26"/>
        <item x="341"/>
        <item x="5"/>
        <item x="463"/>
        <item x="181"/>
        <item x="61"/>
        <item x="91"/>
        <item x="186"/>
        <item x="429"/>
        <item x="17"/>
        <item x="258"/>
        <item x="232"/>
        <item x="195"/>
        <item x="272"/>
        <item x="155"/>
        <item x="157"/>
        <item x="203"/>
        <item x="403"/>
        <item x="4"/>
        <item x="107"/>
        <item x="180"/>
        <item x="221"/>
        <item x="224"/>
        <item x="129"/>
        <item x="461"/>
        <item x="360"/>
        <item x="468"/>
        <item x="421"/>
        <item x="457"/>
        <item x="270"/>
        <item x="313"/>
        <item x="109"/>
        <item x="43"/>
        <item x="106"/>
        <item x="73"/>
        <item x="94"/>
        <item x="83"/>
        <item x="300"/>
        <item x="444"/>
        <item x="3"/>
        <item x="308"/>
        <item x="29"/>
        <item x="196"/>
        <item x="301"/>
        <item x="387"/>
        <item x="287"/>
        <item x="240"/>
        <item x="381"/>
        <item x="62"/>
        <item x="51"/>
        <item x="371"/>
        <item x="245"/>
        <item x="143"/>
        <item x="294"/>
        <item x="275"/>
        <item x="377"/>
        <item x="290"/>
        <item x="380"/>
        <item x="345"/>
        <item x="154"/>
        <item x="326"/>
        <item x="368"/>
        <item x="392"/>
        <item x="471"/>
        <item x="174"/>
        <item x="249"/>
        <item x="98"/>
        <item x="92"/>
        <item x="414"/>
        <item x="427"/>
        <item x="383"/>
        <item x="150"/>
        <item x="89"/>
        <item x="370"/>
        <item x="458"/>
        <item x="348"/>
        <item x="193"/>
        <item x="352"/>
        <item x="335"/>
        <item x="310"/>
        <item x="390"/>
        <item x="36"/>
        <item x="459"/>
        <item x="182"/>
        <item x="219"/>
        <item x="33"/>
        <item x="304"/>
        <item x="41"/>
        <item x="356"/>
        <item x="285"/>
        <item x="344"/>
        <item x="349"/>
        <item x="440"/>
        <item x="209"/>
        <item x="70"/>
        <item x="327"/>
        <item x="40"/>
        <item x="54"/>
        <item x="153"/>
        <item x="365"/>
        <item x="67"/>
        <item x="469"/>
        <item x="286"/>
        <item x="69"/>
        <item x="144"/>
        <item x="473"/>
        <item x="48"/>
        <item x="82"/>
        <item x="38"/>
        <item x="126"/>
        <item x="338"/>
        <item x="430"/>
        <item x="401"/>
        <item x="125"/>
        <item x="438"/>
        <item x="238"/>
        <item x="449"/>
        <item x="102"/>
        <item x="474"/>
        <item x="113"/>
        <item x="350"/>
        <item x="93"/>
        <item x="218"/>
        <item x="259"/>
        <item x="447"/>
        <item x="378"/>
        <item x="204"/>
        <item x="433"/>
        <item x="369"/>
        <item x="210"/>
        <item x="336"/>
        <item x="333"/>
        <item x="397"/>
        <item x="435"/>
        <item x="25"/>
        <item x="372"/>
        <item x="460"/>
        <item x="12"/>
        <item x="170"/>
        <item x="405"/>
        <item x="417"/>
        <item x="317"/>
        <item x="111"/>
        <item x="323"/>
        <item x="208"/>
        <item x="355"/>
        <item x="135"/>
        <item x="357"/>
        <item x="176"/>
        <item x="425"/>
        <item x="314"/>
        <item x="226"/>
        <item x="418"/>
        <item x="27"/>
        <item x="420"/>
        <item x="178"/>
        <item x="65"/>
        <item x="239"/>
        <item x="396"/>
        <item x="411"/>
        <item x="276"/>
        <item x="104"/>
        <item x="45"/>
        <item x="343"/>
        <item x="455"/>
        <item x="81"/>
        <item x="409"/>
        <item x="384"/>
        <item x="434"/>
        <item x="211"/>
        <item x="127"/>
        <item x="340"/>
        <item x="202"/>
        <item x="165"/>
        <item x="251"/>
        <item x="234"/>
        <item x="423"/>
        <item x="159"/>
        <item x="243"/>
        <item x="443"/>
        <item x="151"/>
        <item x="116"/>
        <item x="402"/>
        <item x="101"/>
        <item x="138"/>
        <item x="252"/>
        <item x="416"/>
        <item x="18"/>
        <item x="284"/>
        <item x="140"/>
        <item x="253"/>
        <item x="115"/>
        <item x="359"/>
        <item x="194"/>
        <item x="388"/>
        <item x="177"/>
        <item x="408"/>
        <item x="363"/>
        <item x="422"/>
        <item x="269"/>
        <item x="168"/>
        <item x="128"/>
        <item x="147"/>
        <item x="161"/>
        <item x="79"/>
        <item x="46"/>
        <item x="283"/>
        <item x="108"/>
        <item x="146"/>
        <item x="230"/>
        <item x="248"/>
        <item x="288"/>
        <item x="9"/>
        <item x="441"/>
        <item x="379"/>
        <item x="166"/>
        <item x="227"/>
        <item x="315"/>
        <item x="50"/>
        <item x="130"/>
        <item x="185"/>
        <item x="242"/>
        <item x="86"/>
        <item x="413"/>
        <item x="330"/>
        <item x="21"/>
        <item x="280"/>
        <item x="451"/>
        <item x="268"/>
        <item x="97"/>
        <item x="376"/>
        <item x="261"/>
        <item x="200"/>
        <item x="399"/>
        <item x="201"/>
        <item x="55"/>
        <item x="262"/>
        <item x="247"/>
        <item x="354"/>
        <item x="321"/>
        <item x="112"/>
        <item x="110"/>
        <item x="184"/>
        <item x="28"/>
        <item x="11"/>
        <item x="450"/>
        <item x="263"/>
        <item x="256"/>
        <item x="123"/>
        <item x="149"/>
        <item x="19"/>
        <item x="442"/>
        <item x="42"/>
        <item x="302"/>
        <item x="358"/>
        <item x="169"/>
        <item x="77"/>
        <item x="395"/>
        <item x="291"/>
        <item x="415"/>
        <item x="375"/>
        <item x="53"/>
        <item x="265"/>
        <item x="331"/>
        <item x="279"/>
        <item x="448"/>
        <item x="367"/>
        <item x="142"/>
        <item x="424"/>
        <item x="121"/>
        <item x="52"/>
        <item x="398"/>
        <item x="190"/>
        <item x="389"/>
        <item x="307"/>
        <item x="66"/>
        <item x="312"/>
        <item x="0"/>
        <item x="84"/>
        <item x="134"/>
        <item x="103"/>
        <item x="274"/>
        <item x="215"/>
        <item x="75"/>
        <item x="23"/>
        <item x="229"/>
        <item x="214"/>
        <item x="382"/>
        <item x="100"/>
        <item x="267"/>
        <item x="207"/>
        <item x="164"/>
        <item x="60"/>
        <item x="452"/>
        <item x="295"/>
        <item x="366"/>
        <item x="328"/>
        <item x="293"/>
        <item x="446"/>
        <item x="197"/>
        <item x="72"/>
        <item x="175"/>
        <item x="391"/>
        <item x="213"/>
        <item x="257"/>
        <item x="8"/>
        <item x="373"/>
        <item x="351"/>
        <item x="122"/>
        <item x="133"/>
        <item x="74"/>
        <item x="88"/>
        <item x="306"/>
        <item x="85"/>
        <item x="171"/>
        <item x="318"/>
        <item x="431"/>
        <item x="407"/>
        <item x="241"/>
        <item x="32"/>
        <item x="467"/>
        <item x="24"/>
        <item x="289"/>
        <item x="57"/>
        <item x="316"/>
        <item x="432"/>
        <item x="189"/>
        <item x="361"/>
        <item x="173"/>
      </items>
    </pivotField>
    <pivotField showAll="0" defaultSubtotal="0"/>
    <pivotField showAll="0" defaultSubtotal="0"/>
    <pivotField showAll="0" defaultSubtotal="0"/>
    <pivotField showAll="0" defaultSubtotal="0"/>
    <pivotField numFmtId="44" showAll="0" defaultSubtotal="0"/>
    <pivotField dataField="1" numFmtId="44" showAll="0" defaultSubtotal="0"/>
    <pivotField showAll="0" defaultSubtotal="0"/>
    <pivotField showAll="0" defaultSubtotal="0"/>
    <pivotField showAll="0" defaultSubtotal="0"/>
    <pivotField dataField="1" numFmtId="44" showAll="0" defaultSubtotal="0"/>
    <pivotField numFmtId="44" showAll="0" defaultSubtotal="0"/>
    <pivotField numFmtId="44" showAll="0" defaultSubtotal="0"/>
    <pivotField numFmtId="9" showAll="0" defaultSubtotal="0"/>
    <pivotField numFmtId="9" showAll="0" defaultSubtotal="0"/>
    <pivotField showAll="0" defaultSubtotal="0"/>
    <pivotField subtotalTop="0" showAll="0" defaultSubtotal="0"/>
    <pivotField axis="axisRow" showAll="0" defaultSubtotal="0">
      <items count="14">
        <item x="0"/>
        <item x="1"/>
        <item x="2"/>
        <item x="3"/>
        <item x="4"/>
        <item x="5"/>
        <item x="6"/>
        <item x="7"/>
        <item x="8"/>
        <item x="9"/>
        <item x="10"/>
        <item x="11"/>
        <item x="12"/>
        <item x="13"/>
      </items>
    </pivotField>
    <pivotField axis="axisRow" showAll="0" defaultSubtotal="0">
      <items count="5">
        <item x="0"/>
        <item x="1"/>
        <item x="2"/>
        <item x="3"/>
        <item x="4"/>
      </items>
    </pivotField>
  </pivotFields>
  <rowFields count="2">
    <field x="20"/>
    <field x="19"/>
  </rowFields>
  <rowItems count="2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rowItems>
  <colFields count="1">
    <field x="-2"/>
  </colFields>
  <colItems count="2">
    <i>
      <x/>
    </i>
    <i i="1">
      <x v="1"/>
    </i>
  </colItems>
  <dataFields count="2">
    <dataField name="Sum of  Total_Spend " fld="12" baseField="0" baseItem="0" numFmtId="44"/>
    <dataField name="Average of Negotiated_Price" fld="8" subtotal="average" baseField="0" baseItem="0" numFmtId="44"/>
  </dataField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7EF152-8974-4CF9-9635-1A9C36FBD791}" name="PivotTable3" cacheId="13" applyNumberFormats="0" applyBorderFormats="0" applyFontFormats="0" applyPatternFormats="0" applyAlignmentFormats="0" applyWidthHeightFormats="1" dataCaption="Values" updatedVersion="8" minRefreshableVersion="5" itemPrintTitles="1" createdVersion="8" indent="0" multipleFieldFilters="0" chartFormat="9" colHeaderCaption="Performance">
  <location ref="A12:F19" firstHeaderRow="1" firstDataRow="2" firstDataCol="1"/>
  <pivotFields count="21">
    <pivotField dataField="1" showAll="0"/>
    <pivotField axis="axisRow" showAll="0">
      <items count="6">
        <item x="0"/>
        <item x="3"/>
        <item x="1"/>
        <item x="4"/>
        <item x="2"/>
        <item t="default"/>
      </items>
    </pivotField>
    <pivotField numFmtId="14" showAll="0">
      <items count="476">
        <item x="148"/>
        <item x="362"/>
        <item x="237"/>
        <item x="137"/>
        <item x="404"/>
        <item x="30"/>
        <item x="187"/>
        <item x="292"/>
        <item x="278"/>
        <item x="131"/>
        <item x="231"/>
        <item x="152"/>
        <item x="439"/>
        <item x="183"/>
        <item x="346"/>
        <item x="2"/>
        <item x="472"/>
        <item x="20"/>
        <item x="353"/>
        <item x="445"/>
        <item x="14"/>
        <item x="465"/>
        <item x="13"/>
        <item x="320"/>
        <item x="339"/>
        <item x="264"/>
        <item x="464"/>
        <item x="325"/>
        <item x="44"/>
        <item x="309"/>
        <item x="59"/>
        <item x="394"/>
        <item x="118"/>
        <item x="228"/>
        <item x="90"/>
        <item x="462"/>
        <item x="212"/>
        <item x="250"/>
        <item x="156"/>
        <item x="191"/>
        <item x="217"/>
        <item x="436"/>
        <item x="124"/>
        <item x="95"/>
        <item x="192"/>
        <item x="160"/>
        <item x="58"/>
        <item x="188"/>
        <item x="76"/>
        <item x="277"/>
        <item x="282"/>
        <item x="225"/>
        <item x="426"/>
        <item x="49"/>
        <item x="63"/>
        <item x="254"/>
        <item x="266"/>
        <item x="453"/>
        <item x="386"/>
        <item x="158"/>
        <item x="10"/>
        <item x="117"/>
        <item x="37"/>
        <item x="15"/>
        <item x="206"/>
        <item x="39"/>
        <item x="216"/>
        <item x="281"/>
        <item x="64"/>
        <item x="7"/>
        <item x="329"/>
        <item x="296"/>
        <item x="141"/>
        <item x="299"/>
        <item x="337"/>
        <item x="220"/>
        <item x="119"/>
        <item x="1"/>
        <item x="132"/>
        <item x="298"/>
        <item x="260"/>
        <item x="179"/>
        <item x="410"/>
        <item x="47"/>
        <item x="162"/>
        <item x="466"/>
        <item x="324"/>
        <item x="163"/>
        <item x="311"/>
        <item x="273"/>
        <item x="199"/>
        <item x="412"/>
        <item x="297"/>
        <item x="454"/>
        <item x="114"/>
        <item x="6"/>
        <item x="222"/>
        <item x="105"/>
        <item x="393"/>
        <item x="322"/>
        <item x="319"/>
        <item x="428"/>
        <item x="120"/>
        <item x="244"/>
        <item x="34"/>
        <item x="136"/>
        <item x="419"/>
        <item x="31"/>
        <item x="145"/>
        <item x="68"/>
        <item x="80"/>
        <item x="236"/>
        <item x="167"/>
        <item x="233"/>
        <item x="470"/>
        <item x="385"/>
        <item x="78"/>
        <item x="374"/>
        <item x="406"/>
        <item x="332"/>
        <item x="139"/>
        <item x="334"/>
        <item x="456"/>
        <item x="223"/>
        <item x="255"/>
        <item x="205"/>
        <item x="56"/>
        <item x="347"/>
        <item x="400"/>
        <item x="364"/>
        <item x="22"/>
        <item x="342"/>
        <item x="172"/>
        <item x="305"/>
        <item x="271"/>
        <item x="437"/>
        <item x="71"/>
        <item x="303"/>
        <item x="96"/>
        <item x="99"/>
        <item x="235"/>
        <item x="198"/>
        <item x="35"/>
        <item x="246"/>
        <item x="16"/>
        <item x="87"/>
        <item x="26"/>
        <item x="341"/>
        <item x="5"/>
        <item x="463"/>
        <item x="181"/>
        <item x="61"/>
        <item x="91"/>
        <item x="186"/>
        <item x="429"/>
        <item x="17"/>
        <item x="258"/>
        <item x="232"/>
        <item x="195"/>
        <item x="272"/>
        <item x="155"/>
        <item x="157"/>
        <item x="203"/>
        <item x="403"/>
        <item x="4"/>
        <item x="107"/>
        <item x="180"/>
        <item x="221"/>
        <item x="224"/>
        <item x="129"/>
        <item x="461"/>
        <item x="360"/>
        <item x="468"/>
        <item x="421"/>
        <item x="457"/>
        <item x="270"/>
        <item x="313"/>
        <item x="109"/>
        <item x="43"/>
        <item x="106"/>
        <item x="73"/>
        <item x="94"/>
        <item x="83"/>
        <item x="300"/>
        <item x="444"/>
        <item x="3"/>
        <item x="308"/>
        <item x="29"/>
        <item x="196"/>
        <item x="301"/>
        <item x="387"/>
        <item x="287"/>
        <item x="240"/>
        <item x="381"/>
        <item x="62"/>
        <item x="51"/>
        <item x="371"/>
        <item x="245"/>
        <item x="143"/>
        <item x="294"/>
        <item x="275"/>
        <item x="377"/>
        <item x="290"/>
        <item x="380"/>
        <item x="345"/>
        <item x="154"/>
        <item x="326"/>
        <item x="368"/>
        <item x="392"/>
        <item x="471"/>
        <item x="174"/>
        <item x="249"/>
        <item x="98"/>
        <item x="92"/>
        <item x="414"/>
        <item x="427"/>
        <item x="383"/>
        <item x="150"/>
        <item x="89"/>
        <item x="370"/>
        <item x="458"/>
        <item x="348"/>
        <item x="193"/>
        <item x="352"/>
        <item x="335"/>
        <item x="310"/>
        <item x="390"/>
        <item x="36"/>
        <item x="459"/>
        <item x="182"/>
        <item x="219"/>
        <item x="33"/>
        <item x="304"/>
        <item x="41"/>
        <item x="356"/>
        <item x="285"/>
        <item x="344"/>
        <item x="349"/>
        <item x="440"/>
        <item x="209"/>
        <item x="70"/>
        <item x="327"/>
        <item x="40"/>
        <item x="54"/>
        <item x="153"/>
        <item x="365"/>
        <item x="67"/>
        <item x="469"/>
        <item x="286"/>
        <item x="69"/>
        <item x="144"/>
        <item x="473"/>
        <item x="48"/>
        <item x="82"/>
        <item x="38"/>
        <item x="126"/>
        <item x="338"/>
        <item x="430"/>
        <item x="401"/>
        <item x="125"/>
        <item x="438"/>
        <item x="238"/>
        <item x="449"/>
        <item x="102"/>
        <item x="474"/>
        <item x="113"/>
        <item x="350"/>
        <item x="93"/>
        <item x="218"/>
        <item x="259"/>
        <item x="447"/>
        <item x="378"/>
        <item x="204"/>
        <item x="433"/>
        <item x="369"/>
        <item x="210"/>
        <item x="336"/>
        <item x="333"/>
        <item x="397"/>
        <item x="435"/>
        <item x="25"/>
        <item x="372"/>
        <item x="460"/>
        <item x="12"/>
        <item x="170"/>
        <item x="405"/>
        <item x="417"/>
        <item x="317"/>
        <item x="111"/>
        <item x="323"/>
        <item x="208"/>
        <item x="355"/>
        <item x="135"/>
        <item x="357"/>
        <item x="176"/>
        <item x="425"/>
        <item x="314"/>
        <item x="226"/>
        <item x="418"/>
        <item x="27"/>
        <item x="420"/>
        <item x="178"/>
        <item x="65"/>
        <item x="239"/>
        <item x="396"/>
        <item x="411"/>
        <item x="276"/>
        <item x="104"/>
        <item x="45"/>
        <item x="343"/>
        <item x="455"/>
        <item x="81"/>
        <item x="409"/>
        <item x="384"/>
        <item x="434"/>
        <item x="211"/>
        <item x="127"/>
        <item x="340"/>
        <item x="202"/>
        <item x="165"/>
        <item x="251"/>
        <item x="234"/>
        <item x="423"/>
        <item x="159"/>
        <item x="243"/>
        <item x="443"/>
        <item x="151"/>
        <item x="116"/>
        <item x="402"/>
        <item x="101"/>
        <item x="138"/>
        <item x="252"/>
        <item x="416"/>
        <item x="18"/>
        <item x="284"/>
        <item x="140"/>
        <item x="253"/>
        <item x="115"/>
        <item x="359"/>
        <item x="194"/>
        <item x="388"/>
        <item x="177"/>
        <item x="408"/>
        <item x="363"/>
        <item x="422"/>
        <item x="269"/>
        <item x="168"/>
        <item x="128"/>
        <item x="147"/>
        <item x="161"/>
        <item x="79"/>
        <item x="46"/>
        <item x="283"/>
        <item x="108"/>
        <item x="146"/>
        <item x="230"/>
        <item x="248"/>
        <item x="288"/>
        <item x="9"/>
        <item x="441"/>
        <item x="379"/>
        <item x="166"/>
        <item x="227"/>
        <item x="315"/>
        <item x="50"/>
        <item x="130"/>
        <item x="185"/>
        <item x="242"/>
        <item x="86"/>
        <item x="413"/>
        <item x="330"/>
        <item x="21"/>
        <item x="280"/>
        <item x="451"/>
        <item x="268"/>
        <item x="97"/>
        <item x="376"/>
        <item x="261"/>
        <item x="200"/>
        <item x="399"/>
        <item x="201"/>
        <item x="55"/>
        <item x="262"/>
        <item x="247"/>
        <item x="354"/>
        <item x="321"/>
        <item x="112"/>
        <item x="110"/>
        <item x="184"/>
        <item x="28"/>
        <item x="11"/>
        <item x="450"/>
        <item x="263"/>
        <item x="256"/>
        <item x="123"/>
        <item x="149"/>
        <item x="19"/>
        <item x="442"/>
        <item x="42"/>
        <item x="302"/>
        <item x="358"/>
        <item x="169"/>
        <item x="77"/>
        <item x="395"/>
        <item x="291"/>
        <item x="415"/>
        <item x="375"/>
        <item x="53"/>
        <item x="265"/>
        <item x="331"/>
        <item x="279"/>
        <item x="448"/>
        <item x="367"/>
        <item x="142"/>
        <item x="424"/>
        <item x="121"/>
        <item x="52"/>
        <item x="398"/>
        <item x="190"/>
        <item x="389"/>
        <item x="307"/>
        <item x="66"/>
        <item x="312"/>
        <item x="0"/>
        <item x="84"/>
        <item x="134"/>
        <item x="103"/>
        <item x="274"/>
        <item x="215"/>
        <item x="75"/>
        <item x="23"/>
        <item x="229"/>
        <item x="214"/>
        <item x="382"/>
        <item x="100"/>
        <item x="267"/>
        <item x="207"/>
        <item x="164"/>
        <item x="60"/>
        <item x="452"/>
        <item x="295"/>
        <item x="366"/>
        <item x="328"/>
        <item x="293"/>
        <item x="446"/>
        <item x="197"/>
        <item x="72"/>
        <item x="175"/>
        <item x="391"/>
        <item x="213"/>
        <item x="257"/>
        <item x="8"/>
        <item x="373"/>
        <item x="351"/>
        <item x="122"/>
        <item x="133"/>
        <item x="74"/>
        <item x="88"/>
        <item x="306"/>
        <item x="85"/>
        <item x="171"/>
        <item x="318"/>
        <item x="431"/>
        <item x="407"/>
        <item x="241"/>
        <item x="32"/>
        <item x="467"/>
        <item x="24"/>
        <item x="289"/>
        <item x="57"/>
        <item x="316"/>
        <item x="432"/>
        <item x="189"/>
        <item x="361"/>
        <item x="173"/>
        <item t="default"/>
      </items>
    </pivotField>
    <pivotField showAll="0"/>
    <pivotField showAll="0">
      <items count="7">
        <item x="4"/>
        <item x="5"/>
        <item x="1"/>
        <item x="0"/>
        <item x="2"/>
        <item x="3"/>
        <item t="default"/>
      </items>
    </pivotField>
    <pivotField axis="axisCol" showAll="0">
      <items count="5">
        <item x="0"/>
        <item x="1"/>
        <item x="2"/>
        <item x="3"/>
        <item t="default"/>
      </items>
    </pivotField>
    <pivotField showAll="0"/>
    <pivotField numFmtId="44" showAll="0"/>
    <pivotField numFmtId="44" showAll="0"/>
    <pivotField showAll="0"/>
    <pivotField showAll="0"/>
    <pivotField showAll="0"/>
    <pivotField numFmtId="44" showAll="0"/>
    <pivotField numFmtId="44" showAll="0"/>
    <pivotField numFmtId="44" showAll="0"/>
    <pivotField numFmtId="9"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6">
    <i>
      <x/>
    </i>
    <i>
      <x v="1"/>
    </i>
    <i>
      <x v="2"/>
    </i>
    <i>
      <x v="3"/>
    </i>
    <i>
      <x v="4"/>
    </i>
    <i t="grand">
      <x/>
    </i>
  </rowItems>
  <colFields count="1">
    <field x="5"/>
  </colFields>
  <colItems count="5">
    <i>
      <x/>
    </i>
    <i>
      <x v="1"/>
    </i>
    <i>
      <x v="2"/>
    </i>
    <i>
      <x v="3"/>
    </i>
    <i t="grand">
      <x/>
    </i>
  </colItems>
  <dataFields count="1">
    <dataField name="Supplier Analysi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469ED7-66FF-459E-BD5E-5FED0BB1BDA6}" name="PivotTable5" cacheId="13" applyNumberFormats="0" applyBorderFormats="0" applyFontFormats="0" applyPatternFormats="0" applyAlignmentFormats="0" applyWidthHeightFormats="1" dataCaption="Values" updatedVersion="8" minRefreshableVersion="5" itemPrintTitles="1" createdVersion="8" indent="0" multipleFieldFilters="0" rowHeaderCaption=" Category analysis" colHeaderCaption="Performance">
  <location ref="J2:O9" firstHeaderRow="0" firstDataRow="1" firstDataCol="1"/>
  <pivotFields count="21">
    <pivotField dataField="1" showAll="0"/>
    <pivotField showAll="0">
      <items count="6">
        <item x="0"/>
        <item x="3"/>
        <item x="1"/>
        <item x="4"/>
        <item x="2"/>
        <item t="default"/>
      </items>
    </pivotField>
    <pivotField numFmtId="14" showAll="0">
      <items count="476">
        <item x="148"/>
        <item x="362"/>
        <item x="237"/>
        <item x="137"/>
        <item x="404"/>
        <item x="30"/>
        <item x="187"/>
        <item x="292"/>
        <item x="278"/>
        <item x="131"/>
        <item x="231"/>
        <item x="152"/>
        <item x="439"/>
        <item x="183"/>
        <item x="346"/>
        <item x="2"/>
        <item x="472"/>
        <item x="20"/>
        <item x="353"/>
        <item x="445"/>
        <item x="14"/>
        <item x="465"/>
        <item x="13"/>
        <item x="320"/>
        <item x="339"/>
        <item x="264"/>
        <item x="464"/>
        <item x="325"/>
        <item x="44"/>
        <item x="309"/>
        <item x="59"/>
        <item x="394"/>
        <item x="118"/>
        <item x="228"/>
        <item x="90"/>
        <item x="462"/>
        <item x="212"/>
        <item x="250"/>
        <item x="156"/>
        <item x="191"/>
        <item x="217"/>
        <item x="436"/>
        <item x="124"/>
        <item x="95"/>
        <item x="192"/>
        <item x="160"/>
        <item x="58"/>
        <item x="188"/>
        <item x="76"/>
        <item x="277"/>
        <item x="282"/>
        <item x="225"/>
        <item x="426"/>
        <item x="49"/>
        <item x="63"/>
        <item x="254"/>
        <item x="266"/>
        <item x="453"/>
        <item x="386"/>
        <item x="158"/>
        <item x="10"/>
        <item x="117"/>
        <item x="37"/>
        <item x="15"/>
        <item x="206"/>
        <item x="39"/>
        <item x="216"/>
        <item x="281"/>
        <item x="64"/>
        <item x="7"/>
        <item x="329"/>
        <item x="296"/>
        <item x="141"/>
        <item x="299"/>
        <item x="337"/>
        <item x="220"/>
        <item x="119"/>
        <item x="1"/>
        <item x="132"/>
        <item x="298"/>
        <item x="260"/>
        <item x="179"/>
        <item x="410"/>
        <item x="47"/>
        <item x="162"/>
        <item x="466"/>
        <item x="324"/>
        <item x="163"/>
        <item x="311"/>
        <item x="273"/>
        <item x="199"/>
        <item x="412"/>
        <item x="297"/>
        <item x="454"/>
        <item x="114"/>
        <item x="6"/>
        <item x="222"/>
        <item x="105"/>
        <item x="393"/>
        <item x="322"/>
        <item x="319"/>
        <item x="428"/>
        <item x="120"/>
        <item x="244"/>
        <item x="34"/>
        <item x="136"/>
        <item x="419"/>
        <item x="31"/>
        <item x="145"/>
        <item x="68"/>
        <item x="80"/>
        <item x="236"/>
        <item x="167"/>
        <item x="233"/>
        <item x="470"/>
        <item x="385"/>
        <item x="78"/>
        <item x="374"/>
        <item x="406"/>
        <item x="332"/>
        <item x="139"/>
        <item x="334"/>
        <item x="456"/>
        <item x="223"/>
        <item x="255"/>
        <item x="205"/>
        <item x="56"/>
        <item x="347"/>
        <item x="400"/>
        <item x="364"/>
        <item x="22"/>
        <item x="342"/>
        <item x="172"/>
        <item x="305"/>
        <item x="271"/>
        <item x="437"/>
        <item x="71"/>
        <item x="303"/>
        <item x="96"/>
        <item x="99"/>
        <item x="235"/>
        <item x="198"/>
        <item x="35"/>
        <item x="246"/>
        <item x="16"/>
        <item x="87"/>
        <item x="26"/>
        <item x="341"/>
        <item x="5"/>
        <item x="463"/>
        <item x="181"/>
        <item x="61"/>
        <item x="91"/>
        <item x="186"/>
        <item x="429"/>
        <item x="17"/>
        <item x="258"/>
        <item x="232"/>
        <item x="195"/>
        <item x="272"/>
        <item x="155"/>
        <item x="157"/>
        <item x="203"/>
        <item x="403"/>
        <item x="4"/>
        <item x="107"/>
        <item x="180"/>
        <item x="221"/>
        <item x="224"/>
        <item x="129"/>
        <item x="461"/>
        <item x="360"/>
        <item x="468"/>
        <item x="421"/>
        <item x="457"/>
        <item x="270"/>
        <item x="313"/>
        <item x="109"/>
        <item x="43"/>
        <item x="106"/>
        <item x="73"/>
        <item x="94"/>
        <item x="83"/>
        <item x="300"/>
        <item x="444"/>
        <item x="3"/>
        <item x="308"/>
        <item x="29"/>
        <item x="196"/>
        <item x="301"/>
        <item x="387"/>
        <item x="287"/>
        <item x="240"/>
        <item x="381"/>
        <item x="62"/>
        <item x="51"/>
        <item x="371"/>
        <item x="245"/>
        <item x="143"/>
        <item x="294"/>
        <item x="275"/>
        <item x="377"/>
        <item x="290"/>
        <item x="380"/>
        <item x="345"/>
        <item x="154"/>
        <item x="326"/>
        <item x="368"/>
        <item x="392"/>
        <item x="471"/>
        <item x="174"/>
        <item x="249"/>
        <item x="98"/>
        <item x="92"/>
        <item x="414"/>
        <item x="427"/>
        <item x="383"/>
        <item x="150"/>
        <item x="89"/>
        <item x="370"/>
        <item x="458"/>
        <item x="348"/>
        <item x="193"/>
        <item x="352"/>
        <item x="335"/>
        <item x="310"/>
        <item x="390"/>
        <item x="36"/>
        <item x="459"/>
        <item x="182"/>
        <item x="219"/>
        <item x="33"/>
        <item x="304"/>
        <item x="41"/>
        <item x="356"/>
        <item x="285"/>
        <item x="344"/>
        <item x="349"/>
        <item x="440"/>
        <item x="209"/>
        <item x="70"/>
        <item x="327"/>
        <item x="40"/>
        <item x="54"/>
        <item x="153"/>
        <item x="365"/>
        <item x="67"/>
        <item x="469"/>
        <item x="286"/>
        <item x="69"/>
        <item x="144"/>
        <item x="473"/>
        <item x="48"/>
        <item x="82"/>
        <item x="38"/>
        <item x="126"/>
        <item x="338"/>
        <item x="430"/>
        <item x="401"/>
        <item x="125"/>
        <item x="438"/>
        <item x="238"/>
        <item x="449"/>
        <item x="102"/>
        <item x="474"/>
        <item x="113"/>
        <item x="350"/>
        <item x="93"/>
        <item x="218"/>
        <item x="259"/>
        <item x="447"/>
        <item x="378"/>
        <item x="204"/>
        <item x="433"/>
        <item x="369"/>
        <item x="210"/>
        <item x="336"/>
        <item x="333"/>
        <item x="397"/>
        <item x="435"/>
        <item x="25"/>
        <item x="372"/>
        <item x="460"/>
        <item x="12"/>
        <item x="170"/>
        <item x="405"/>
        <item x="417"/>
        <item x="317"/>
        <item x="111"/>
        <item x="323"/>
        <item x="208"/>
        <item x="355"/>
        <item x="135"/>
        <item x="357"/>
        <item x="176"/>
        <item x="425"/>
        <item x="314"/>
        <item x="226"/>
        <item x="418"/>
        <item x="27"/>
        <item x="420"/>
        <item x="178"/>
        <item x="65"/>
        <item x="239"/>
        <item x="396"/>
        <item x="411"/>
        <item x="276"/>
        <item x="104"/>
        <item x="45"/>
        <item x="343"/>
        <item x="455"/>
        <item x="81"/>
        <item x="409"/>
        <item x="384"/>
        <item x="434"/>
        <item x="211"/>
        <item x="127"/>
        <item x="340"/>
        <item x="202"/>
        <item x="165"/>
        <item x="251"/>
        <item x="234"/>
        <item x="423"/>
        <item x="159"/>
        <item x="243"/>
        <item x="443"/>
        <item x="151"/>
        <item x="116"/>
        <item x="402"/>
        <item x="101"/>
        <item x="138"/>
        <item x="252"/>
        <item x="416"/>
        <item x="18"/>
        <item x="284"/>
        <item x="140"/>
        <item x="253"/>
        <item x="115"/>
        <item x="359"/>
        <item x="194"/>
        <item x="388"/>
        <item x="177"/>
        <item x="408"/>
        <item x="363"/>
        <item x="422"/>
        <item x="269"/>
        <item x="168"/>
        <item x="128"/>
        <item x="147"/>
        <item x="161"/>
        <item x="79"/>
        <item x="46"/>
        <item x="283"/>
        <item x="108"/>
        <item x="146"/>
        <item x="230"/>
        <item x="248"/>
        <item x="288"/>
        <item x="9"/>
        <item x="441"/>
        <item x="379"/>
        <item x="166"/>
        <item x="227"/>
        <item x="315"/>
        <item x="50"/>
        <item x="130"/>
        <item x="185"/>
        <item x="242"/>
        <item x="86"/>
        <item x="413"/>
        <item x="330"/>
        <item x="21"/>
        <item x="280"/>
        <item x="451"/>
        <item x="268"/>
        <item x="97"/>
        <item x="376"/>
        <item x="261"/>
        <item x="200"/>
        <item x="399"/>
        <item x="201"/>
        <item x="55"/>
        <item x="262"/>
        <item x="247"/>
        <item x="354"/>
        <item x="321"/>
        <item x="112"/>
        <item x="110"/>
        <item x="184"/>
        <item x="28"/>
        <item x="11"/>
        <item x="450"/>
        <item x="263"/>
        <item x="256"/>
        <item x="123"/>
        <item x="149"/>
        <item x="19"/>
        <item x="442"/>
        <item x="42"/>
        <item x="302"/>
        <item x="358"/>
        <item x="169"/>
        <item x="77"/>
        <item x="395"/>
        <item x="291"/>
        <item x="415"/>
        <item x="375"/>
        <item x="53"/>
        <item x="265"/>
        <item x="331"/>
        <item x="279"/>
        <item x="448"/>
        <item x="367"/>
        <item x="142"/>
        <item x="424"/>
        <item x="121"/>
        <item x="52"/>
        <item x="398"/>
        <item x="190"/>
        <item x="389"/>
        <item x="307"/>
        <item x="66"/>
        <item x="312"/>
        <item x="0"/>
        <item x="84"/>
        <item x="134"/>
        <item x="103"/>
        <item x="274"/>
        <item x="215"/>
        <item x="75"/>
        <item x="23"/>
        <item x="229"/>
        <item x="214"/>
        <item x="382"/>
        <item x="100"/>
        <item x="267"/>
        <item x="207"/>
        <item x="164"/>
        <item x="60"/>
        <item x="452"/>
        <item x="295"/>
        <item x="366"/>
        <item x="328"/>
        <item x="293"/>
        <item x="446"/>
        <item x="197"/>
        <item x="72"/>
        <item x="175"/>
        <item x="391"/>
        <item x="213"/>
        <item x="257"/>
        <item x="8"/>
        <item x="373"/>
        <item x="351"/>
        <item x="122"/>
        <item x="133"/>
        <item x="74"/>
        <item x="88"/>
        <item x="306"/>
        <item x="85"/>
        <item x="171"/>
        <item x="318"/>
        <item x="431"/>
        <item x="407"/>
        <item x="241"/>
        <item x="32"/>
        <item x="467"/>
        <item x="24"/>
        <item x="289"/>
        <item x="57"/>
        <item x="316"/>
        <item x="432"/>
        <item x="189"/>
        <item x="361"/>
        <item x="173"/>
        <item t="default"/>
      </items>
    </pivotField>
    <pivotField showAll="0"/>
    <pivotField axis="axisRow" showAll="0">
      <items count="7">
        <item x="5"/>
        <item x="1"/>
        <item x="0"/>
        <item x="2"/>
        <item x="3"/>
        <item x="4"/>
        <item t="default"/>
      </items>
    </pivotField>
    <pivotField showAll="0"/>
    <pivotField dataField="1" showAll="0"/>
    <pivotField numFmtId="44" showAll="0"/>
    <pivotField numFmtId="44" showAll="0"/>
    <pivotField dataField="1" showAll="0"/>
    <pivotField showAll="0"/>
    <pivotField showAll="0"/>
    <pivotField dataField="1" numFmtId="44" showAll="0"/>
    <pivotField numFmtId="44" showAll="0"/>
    <pivotField dataField="1" numFmtId="44" showAll="0"/>
    <pivotField numFmtId="9"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4"/>
  </rowFields>
  <rowItems count="7">
    <i>
      <x/>
    </i>
    <i>
      <x v="1"/>
    </i>
    <i>
      <x v="2"/>
    </i>
    <i>
      <x v="3"/>
    </i>
    <i>
      <x v="4"/>
    </i>
    <i>
      <x v="5"/>
    </i>
    <i t="grand">
      <x/>
    </i>
  </rowItems>
  <colFields count="1">
    <field x="-2"/>
  </colFields>
  <colItems count="5">
    <i>
      <x/>
    </i>
    <i i="1">
      <x v="1"/>
    </i>
    <i i="2">
      <x v="2"/>
    </i>
    <i i="3">
      <x v="3"/>
    </i>
    <i i="4">
      <x v="4"/>
    </i>
  </colItems>
  <dataFields count="5">
    <dataField name="Sum of  Total_Spend " fld="12" baseField="0" baseItem="0" numFmtId="44"/>
    <dataField name="Sum of Quantity" fld="6" baseField="0" baseItem="0"/>
    <dataField name="Sum of Cost_Savings" fld="14" baseField="0" baseItem="0" numFmtId="44"/>
    <dataField name="Sum of Defective_Units" fld="9" baseField="0" baseItem="0"/>
    <dataField name="Count of PO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900AE8CE-40DA-478A-8466-17B1D96EA62F}" sourceName="Supplier">
  <pivotTables>
    <pivotTable tabId="3" name="PivotTable3"/>
    <pivotTable tabId="3" name="PivotTable1"/>
    <pivotTable tabId="3" name="PivotTable5"/>
    <pivotTable tabId="3" name="PivotTable2"/>
    <pivotTable tabId="3" name="PivotTable4"/>
    <pivotTable tabId="3" name="PivotTable6"/>
    <pivotTable tabId="3" name="PivotTable7"/>
    <pivotTable tabId="3" name="PivotTable8"/>
    <pivotTable tabId="3" name="PivotTable9"/>
    <pivotTable tabId="2" name="PivotTable11"/>
  </pivotTables>
  <data>
    <tabular pivotCacheId="931946382">
      <items count="5">
        <i x="0" s="1"/>
        <i x="3"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7A7425EC-6C53-461F-A276-9CC92EFDB751}" sourceName="Order_Status">
  <pivotTables>
    <pivotTable tabId="3" name="PivotTable3"/>
  </pivotTables>
  <data>
    <tabular pivotCacheId="931946382">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567B12BA-75BB-4B49-8E29-D836DD2563DA}" sourceName="Item_Category">
  <pivotTables>
    <pivotTable tabId="3" name="PivotTable3"/>
  </pivotTables>
  <data>
    <tabular pivotCacheId="931946382">
      <items count="6">
        <i x="4" s="1"/>
        <i x="5"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67A10040-06E5-45EC-AA36-622388F37CC8}" cache="Slicer_Supplier" caption="Supplier" rowHeight="684000"/>
  <slicer name="Order_Status" xr10:uid="{F1AE9F52-09BE-41A7-AAB5-FBDCA3108780}" cache="Slicer_Order_Status" caption="Order_Status" rowHeight="828000"/>
  <slicer name="Item_Category" xr10:uid="{2EAD63E6-473B-4FE7-914A-1265FC87F8A5}" cache="Slicer_Item_Category" caption="Item_Category" rowHeight="61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242873-0EA5-4CDB-AAF3-CDDFAF61102F}" name="Table1" displayName="Table1" ref="A1:S778" totalsRowShown="0">
  <autoFilter ref="A1:S778" xr:uid="{29242873-0EA5-4CDB-AAF3-CDDFAF61102F}"/>
  <tableColumns count="19">
    <tableColumn id="1" xr3:uid="{EFF5191B-2398-4B38-AAB4-9402622C0AAA}" name="PO_ID"/>
    <tableColumn id="2" xr3:uid="{A9239EC8-82EA-4081-B914-ACCECCB9CF65}" name="Supplier"/>
    <tableColumn id="3" xr3:uid="{74179B86-76F4-4066-9DB0-2BCB8ACD5125}" name="Order_Date" dataDxfId="333"/>
    <tableColumn id="4" xr3:uid="{53925CC4-EC16-4F24-AFF0-3FBF43CA6283}" name="Delivery_Date" dataDxfId="332"/>
    <tableColumn id="5" xr3:uid="{5D0D92E0-A0E3-44CB-B9BC-267BDA6DA944}" name="Item_Category"/>
    <tableColumn id="6" xr3:uid="{3CCFCCDE-43D5-4DDC-AB79-3C596AA54994}" name="Order_Status"/>
    <tableColumn id="7" xr3:uid="{D2AC04A0-FF32-4428-A0B2-EC95CC67EB1A}" name="Quantity"/>
    <tableColumn id="8" xr3:uid="{214333A8-22D7-489E-99B1-4196248564C6}" name="Unit_Price" dataCellStyle="Currency"/>
    <tableColumn id="9" xr3:uid="{1C4493B4-EF62-4920-804D-646BDDFD7833}" name="Negotiated_Price" dataCellStyle="Currency"/>
    <tableColumn id="10" xr3:uid="{37C18CC5-DF22-4F2B-B49C-CE316B1A36E9}" name="Defective_Units"/>
    <tableColumn id="11" xr3:uid="{8644A99B-A27F-4F2C-B6F2-17B6DA52C085}" name="Compliance"/>
    <tableColumn id="12" xr3:uid="{6563BA85-EC45-4209-91BF-5B2A7E1A3B7C}" name="Lead_Time" dataDxfId="331">
      <calculatedColumnFormula>IF(OR(C2="",D2=""),"",D2-C2)</calculatedColumnFormula>
    </tableColumn>
    <tableColumn id="13" xr3:uid="{8027416A-AD3B-41D4-8217-B8D77B914B7D}" name=" Total_Spend " dataCellStyle="Currency">
      <calculatedColumnFormula>Table1[[#This Row],[Quantity]]*Table1[[#This Row],[Negotiated_Price]]</calculatedColumnFormula>
    </tableColumn>
    <tableColumn id="14" xr3:uid="{8431CCB5-35BE-411B-80DC-968B36E980B1}" name=" Original_Spend " dataCellStyle="Currency">
      <calculatedColumnFormula>Table1[[#This Row],[Quantity]]*Table1[[#This Row],[Unit_Price]]</calculatedColumnFormula>
    </tableColumn>
    <tableColumn id="15" xr3:uid="{0A1EA62C-3F03-45E5-B150-7ED09D3A885C}" name="Cost_Savings" dataCellStyle="Currency">
      <calculatedColumnFormula>Table1[[#This Row],[ Original_Spend ]]-Table1[[#This Row],[ Total_Spend ]]</calculatedColumnFormula>
    </tableColumn>
    <tableColumn id="16" xr3:uid="{0B27A962-EB34-4CA5-9751-6CB05E9D657E}" name="Savings_%" dataDxfId="330">
      <calculatedColumnFormula>IFERROR(O2/N2,0)</calculatedColumnFormula>
    </tableColumn>
    <tableColumn id="17" xr3:uid="{E3C32888-8767-4152-B19A-6D3CBC9E81D6}" name="Defect_Rate" dataDxfId="329">
      <calculatedColumnFormula>IFERROR(J2/G2,0)</calculatedColumnFormula>
    </tableColumn>
    <tableColumn id="18" xr3:uid="{F94B00B7-4451-4A00-977C-5BC1FD0D5B11}" name="Delivery_Performance" dataDxfId="328">
      <calculatedColumnFormula>IF(F2&lt;&gt;"Delivered",F2,IF(D2="","Missing Delivery Date",IF(L2&lt;=10,"On Time","Late")))</calculatedColumnFormula>
    </tableColumn>
    <tableColumn id="19" xr3:uid="{911859A0-F71E-4DC9-A4D3-C3BFECD3EFD7}" name="Data_Quality_Flag" dataDxfId="327">
      <calculatedColumnFormula>IF(AND(F2&lt;&gt;"Delivered",D2&lt;&gt;""),"Status-Date Conflict",IF(AND(F2="Delivered",D2=""),"Missing Delivery Date","OK"))</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14F9D9E-BE86-4BFB-81BB-B99A94C62A8C}" sourceName="Order_Date">
  <pivotTables>
    <pivotTable tabId="3" name="PivotTable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2" name="PivotTable11"/>
  </pivotTables>
  <state minimalRefreshVersion="6" lastRefreshVersion="6" pivotCacheId="931946382"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543BD37-37BC-4F88-93F1-1C2E760BF922}" cache="NativeTimeline_Order_Date" caption="Order_Date" level="1" selectionLevel="1" scrollPosition="2022-01-01T00:00:00" style="TimeSlicerStyleLight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openxmlformats.org/officeDocument/2006/relationships/printerSettings" Target="../printerSettings/printerSettings1.bin"/><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7425D-D96D-44EC-835F-A4DB73792298}">
  <dimension ref="B1:AD105"/>
  <sheetViews>
    <sheetView showGridLines="0" tabSelected="1" topLeftCell="A17" zoomScale="40" zoomScaleNormal="40" workbookViewId="0">
      <selection activeCell="L100" sqref="L100"/>
    </sheetView>
  </sheetViews>
  <sheetFormatPr defaultColWidth="13.5703125" defaultRowHeight="15" x14ac:dyDescent="0.25"/>
  <cols>
    <col min="2" max="2" width="35.42578125" customWidth="1"/>
    <col min="3" max="3" width="15.42578125" bestFit="1" customWidth="1"/>
    <col min="4" max="4" width="13.7109375" bestFit="1" customWidth="1"/>
    <col min="5" max="5" width="40.140625" bestFit="1" customWidth="1"/>
    <col min="6" max="6" width="21.5703125" bestFit="1" customWidth="1"/>
    <col min="7" max="7" width="18.28515625" bestFit="1" customWidth="1"/>
    <col min="8" max="8" width="46.85546875" bestFit="1" customWidth="1"/>
  </cols>
  <sheetData>
    <row r="1" spans="2:30" ht="15" customHeight="1" x14ac:dyDescent="0.25">
      <c r="G1" s="15"/>
      <c r="H1" s="15"/>
      <c r="I1" s="15"/>
      <c r="J1" s="37" t="s">
        <v>843</v>
      </c>
      <c r="K1" s="38"/>
      <c r="L1" s="38"/>
      <c r="M1" s="38"/>
      <c r="N1" s="38"/>
      <c r="O1" s="38"/>
      <c r="P1" s="38"/>
      <c r="Q1" s="38"/>
      <c r="R1" s="38"/>
      <c r="S1" s="38"/>
      <c r="T1" s="39"/>
    </row>
    <row r="2" spans="2:30" ht="15" customHeight="1" x14ac:dyDescent="0.25">
      <c r="G2" s="15"/>
      <c r="H2" s="15"/>
      <c r="I2" s="15"/>
      <c r="J2" s="40"/>
      <c r="K2" s="41"/>
      <c r="L2" s="41"/>
      <c r="M2" s="41"/>
      <c r="N2" s="41"/>
      <c r="O2" s="41"/>
      <c r="P2" s="41"/>
      <c r="Q2" s="41"/>
      <c r="R2" s="41"/>
      <c r="S2" s="41"/>
      <c r="T2" s="42"/>
    </row>
    <row r="3" spans="2:30" ht="15" customHeight="1" x14ac:dyDescent="0.25">
      <c r="G3" s="15"/>
      <c r="H3" s="15"/>
      <c r="I3" s="15"/>
      <c r="J3" s="40"/>
      <c r="K3" s="41"/>
      <c r="L3" s="41"/>
      <c r="M3" s="41"/>
      <c r="N3" s="41"/>
      <c r="O3" s="41"/>
      <c r="P3" s="41"/>
      <c r="Q3" s="41"/>
      <c r="R3" s="41"/>
      <c r="S3" s="41"/>
      <c r="T3" s="42"/>
    </row>
    <row r="4" spans="2:30" ht="15.75" thickBot="1" x14ac:dyDescent="0.3">
      <c r="J4" s="43"/>
      <c r="K4" s="44"/>
      <c r="L4" s="44"/>
      <c r="M4" s="44"/>
      <c r="N4" s="44"/>
      <c r="O4" s="44"/>
      <c r="P4" s="44"/>
      <c r="Q4" s="44"/>
      <c r="R4" s="44"/>
      <c r="S4" s="44"/>
      <c r="T4" s="45"/>
    </row>
    <row r="7" spans="2:30" x14ac:dyDescent="0.25">
      <c r="B7" s="46"/>
      <c r="C7" s="47"/>
      <c r="D7" s="47"/>
      <c r="E7" s="47"/>
      <c r="G7" s="48"/>
      <c r="H7" s="49"/>
      <c r="I7" s="49"/>
      <c r="J7" s="50"/>
      <c r="L7" s="57"/>
      <c r="M7" s="58"/>
      <c r="N7" s="58"/>
      <c r="O7" s="59"/>
      <c r="Q7" s="66"/>
      <c r="R7" s="67"/>
      <c r="S7" s="67"/>
      <c r="T7" s="68"/>
      <c r="V7" s="28"/>
      <c r="W7" s="29"/>
      <c r="X7" s="29"/>
      <c r="Y7" s="30"/>
      <c r="AA7" s="19"/>
      <c r="AB7" s="20"/>
      <c r="AC7" s="20"/>
      <c r="AD7" s="21"/>
    </row>
    <row r="8" spans="2:30" x14ac:dyDescent="0.25">
      <c r="B8" s="47"/>
      <c r="C8" s="47"/>
      <c r="D8" s="47"/>
      <c r="E8" s="47"/>
      <c r="G8" s="51"/>
      <c r="H8" s="52"/>
      <c r="I8" s="52"/>
      <c r="J8" s="53"/>
      <c r="L8" s="60"/>
      <c r="M8" s="61"/>
      <c r="N8" s="61"/>
      <c r="O8" s="62"/>
      <c r="Q8" s="69"/>
      <c r="R8" s="70"/>
      <c r="S8" s="70"/>
      <c r="T8" s="71"/>
      <c r="V8" s="31"/>
      <c r="W8" s="32"/>
      <c r="X8" s="32"/>
      <c r="Y8" s="33"/>
      <c r="AA8" s="22"/>
      <c r="AB8" s="23"/>
      <c r="AC8" s="23"/>
      <c r="AD8" s="24"/>
    </row>
    <row r="9" spans="2:30" x14ac:dyDescent="0.25">
      <c r="B9" s="47"/>
      <c r="C9" s="47"/>
      <c r="D9" s="47"/>
      <c r="E9" s="47"/>
      <c r="G9" s="51"/>
      <c r="H9" s="52"/>
      <c r="I9" s="52"/>
      <c r="J9" s="53"/>
      <c r="L9" s="60"/>
      <c r="M9" s="61"/>
      <c r="N9" s="61"/>
      <c r="O9" s="62"/>
      <c r="Q9" s="69"/>
      <c r="R9" s="70"/>
      <c r="S9" s="70"/>
      <c r="T9" s="71"/>
      <c r="V9" s="31"/>
      <c r="W9" s="32"/>
      <c r="X9" s="32"/>
      <c r="Y9" s="33"/>
      <c r="AA9" s="22"/>
      <c r="AB9" s="23"/>
      <c r="AC9" s="23"/>
      <c r="AD9" s="24"/>
    </row>
    <row r="10" spans="2:30" x14ac:dyDescent="0.25">
      <c r="B10" s="47"/>
      <c r="C10" s="47"/>
      <c r="D10" s="47"/>
      <c r="E10" s="47"/>
      <c r="G10" s="51"/>
      <c r="H10" s="52"/>
      <c r="I10" s="52"/>
      <c r="J10" s="53"/>
      <c r="L10" s="60"/>
      <c r="M10" s="61"/>
      <c r="N10" s="61"/>
      <c r="O10" s="62"/>
      <c r="Q10" s="69"/>
      <c r="R10" s="70"/>
      <c r="S10" s="70"/>
      <c r="T10" s="71"/>
      <c r="V10" s="31"/>
      <c r="W10" s="32"/>
      <c r="X10" s="32"/>
      <c r="Y10" s="33"/>
      <c r="AA10" s="22"/>
      <c r="AB10" s="23"/>
      <c r="AC10" s="23"/>
      <c r="AD10" s="24"/>
    </row>
    <row r="11" spans="2:30" x14ac:dyDescent="0.25">
      <c r="B11" s="47"/>
      <c r="C11" s="47"/>
      <c r="D11" s="47"/>
      <c r="E11" s="47"/>
      <c r="G11" s="51"/>
      <c r="H11" s="52"/>
      <c r="I11" s="52"/>
      <c r="J11" s="53"/>
      <c r="L11" s="60"/>
      <c r="M11" s="61"/>
      <c r="N11" s="61"/>
      <c r="O11" s="62"/>
      <c r="Q11" s="69"/>
      <c r="R11" s="70"/>
      <c r="S11" s="70"/>
      <c r="T11" s="71"/>
      <c r="V11" s="31"/>
      <c r="W11" s="32"/>
      <c r="X11" s="32"/>
      <c r="Y11" s="33"/>
      <c r="AA11" s="22"/>
      <c r="AB11" s="23"/>
      <c r="AC11" s="23"/>
      <c r="AD11" s="24"/>
    </row>
    <row r="12" spans="2:30" x14ac:dyDescent="0.25">
      <c r="B12" s="47"/>
      <c r="C12" s="47"/>
      <c r="D12" s="47"/>
      <c r="E12" s="47"/>
      <c r="G12" s="54"/>
      <c r="H12" s="55"/>
      <c r="I12" s="55"/>
      <c r="J12" s="56"/>
      <c r="L12" s="63"/>
      <c r="M12" s="64"/>
      <c r="N12" s="64"/>
      <c r="O12" s="65"/>
      <c r="Q12" s="72"/>
      <c r="R12" s="73"/>
      <c r="S12" s="73"/>
      <c r="T12" s="74"/>
      <c r="V12" s="34"/>
      <c r="W12" s="35"/>
      <c r="X12" s="35"/>
      <c r="Y12" s="36"/>
      <c r="AA12" s="25"/>
      <c r="AB12" s="26"/>
      <c r="AC12" s="26"/>
      <c r="AD12" s="27"/>
    </row>
    <row r="97" spans="2:8" ht="61.5" x14ac:dyDescent="0.85">
      <c r="C97" s="94" t="s">
        <v>820</v>
      </c>
      <c r="D97" s="95"/>
      <c r="E97" s="95"/>
      <c r="F97" s="95"/>
      <c r="G97" s="95"/>
      <c r="H97" s="95"/>
    </row>
    <row r="99" spans="2:8" ht="36" x14ac:dyDescent="0.55000000000000004">
      <c r="B99" s="89" t="s">
        <v>1</v>
      </c>
      <c r="C99" s="90" t="s">
        <v>815</v>
      </c>
      <c r="D99" s="90" t="s">
        <v>819</v>
      </c>
      <c r="E99" s="90" t="s">
        <v>818</v>
      </c>
      <c r="F99" s="90" t="s">
        <v>817</v>
      </c>
      <c r="G99" s="90" t="s">
        <v>816</v>
      </c>
      <c r="H99" s="90" t="s">
        <v>814</v>
      </c>
    </row>
    <row r="100" spans="2:8" ht="36" x14ac:dyDescent="0.55000000000000004">
      <c r="B100" s="91" t="s">
        <v>12</v>
      </c>
      <c r="C100" s="92">
        <v>10.692307692307692</v>
      </c>
      <c r="D100" s="92">
        <v>141</v>
      </c>
      <c r="E100" s="93">
        <v>688920.49000000034</v>
      </c>
      <c r="F100" s="92">
        <v>150414</v>
      </c>
      <c r="G100" s="92">
        <v>2717</v>
      </c>
      <c r="H100" s="93">
        <v>7839712.2500000028</v>
      </c>
    </row>
    <row r="101" spans="2:8" ht="36" x14ac:dyDescent="0.55000000000000004">
      <c r="B101" s="91" t="s">
        <v>23</v>
      </c>
      <c r="C101" s="92">
        <v>11.272727272727273</v>
      </c>
      <c r="D101" s="92">
        <v>156</v>
      </c>
      <c r="E101" s="93">
        <v>889940.8900000006</v>
      </c>
      <c r="F101" s="92">
        <v>180516</v>
      </c>
      <c r="G101" s="92">
        <v>13838</v>
      </c>
      <c r="H101" s="93">
        <v>9858665.9000000022</v>
      </c>
    </row>
    <row r="102" spans="2:8" ht="36" x14ac:dyDescent="0.55000000000000004">
      <c r="B102" s="91" t="s">
        <v>17</v>
      </c>
      <c r="C102" s="92">
        <v>10.85430463576159</v>
      </c>
      <c r="D102" s="92">
        <v>171</v>
      </c>
      <c r="E102" s="93">
        <v>781976.49</v>
      </c>
      <c r="F102" s="92">
        <v>181652</v>
      </c>
      <c r="G102" s="92">
        <v>19678</v>
      </c>
      <c r="H102" s="93">
        <v>9236240.4699999988</v>
      </c>
    </row>
    <row r="103" spans="2:8" ht="36" x14ac:dyDescent="0.55000000000000004">
      <c r="B103" s="91" t="s">
        <v>29</v>
      </c>
      <c r="C103" s="92">
        <v>10.865771812080537</v>
      </c>
      <c r="D103" s="92">
        <v>166</v>
      </c>
      <c r="E103" s="93">
        <v>844980.17999999982</v>
      </c>
      <c r="F103" s="92">
        <v>180053</v>
      </c>
      <c r="G103" s="92">
        <v>4682</v>
      </c>
      <c r="H103" s="93">
        <v>9851156.0600000024</v>
      </c>
    </row>
    <row r="104" spans="2:8" ht="36" x14ac:dyDescent="0.55000000000000004">
      <c r="B104" s="91" t="s">
        <v>20</v>
      </c>
      <c r="C104" s="92">
        <v>10.192307692307692</v>
      </c>
      <c r="D104" s="92">
        <v>143</v>
      </c>
      <c r="E104" s="93">
        <v>725308.42000000027</v>
      </c>
      <c r="F104" s="92">
        <v>157916</v>
      </c>
      <c r="G104" s="92">
        <v>7034</v>
      </c>
      <c r="H104" s="93">
        <v>8587921.7099999972</v>
      </c>
    </row>
    <row r="105" spans="2:8" ht="36" x14ac:dyDescent="0.55000000000000004">
      <c r="B105" s="91" t="s">
        <v>812</v>
      </c>
      <c r="C105" s="92">
        <v>10.791304347826086</v>
      </c>
      <c r="D105" s="92">
        <v>777</v>
      </c>
      <c r="E105" s="93">
        <v>3931126.469999996</v>
      </c>
      <c r="F105" s="92">
        <v>850551</v>
      </c>
      <c r="G105" s="92">
        <v>47949</v>
      </c>
      <c r="H105" s="93">
        <v>45373696.390000015</v>
      </c>
    </row>
  </sheetData>
  <mergeCells count="8">
    <mergeCell ref="C97:H97"/>
    <mergeCell ref="AA7:AD12"/>
    <mergeCell ref="V7:Y12"/>
    <mergeCell ref="J1:T4"/>
    <mergeCell ref="B7:E12"/>
    <mergeCell ref="G7:J12"/>
    <mergeCell ref="L7:O12"/>
    <mergeCell ref="Q7:T12"/>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917DA-3D65-4968-AF6B-16A782C7A44D}">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AE7B2-1C77-4BAE-8729-75A739574ECA}">
  <dimension ref="A1:X778"/>
  <sheetViews>
    <sheetView workbookViewId="0">
      <pane ySplit="1" topLeftCell="A2" activePane="bottomLeft" state="frozen"/>
      <selection pane="bottomLeft" activeCell="J1" sqref="J1"/>
    </sheetView>
  </sheetViews>
  <sheetFormatPr defaultRowHeight="15" x14ac:dyDescent="0.25"/>
  <cols>
    <col min="1" max="1" width="9.28515625" bestFit="1" customWidth="1"/>
    <col min="2" max="2" width="14.28515625" bestFit="1" customWidth="1"/>
    <col min="3" max="3" width="13.5703125" bestFit="1" customWidth="1"/>
    <col min="4" max="4" width="16.140625" bestFit="1" customWidth="1"/>
    <col min="5" max="5" width="16.5703125" bestFit="1" customWidth="1"/>
    <col min="6" max="6" width="17" bestFit="1" customWidth="1"/>
    <col min="7" max="7" width="11" bestFit="1" customWidth="1"/>
    <col min="8" max="8" width="12.42578125" style="3" bestFit="1" customWidth="1"/>
    <col min="9" max="9" width="18.85546875" style="3" bestFit="1" customWidth="1"/>
    <col min="10" max="10" width="17.85546875" bestFit="1" customWidth="1"/>
    <col min="11" max="11" width="14.140625" bestFit="1" customWidth="1"/>
    <col min="12" max="12" width="12.85546875" bestFit="1" customWidth="1"/>
    <col min="13" max="13" width="15.140625" style="3" bestFit="1" customWidth="1"/>
    <col min="14" max="14" width="17.85546875" style="3" bestFit="1" customWidth="1"/>
    <col min="15" max="15" width="15.42578125" style="3" bestFit="1" customWidth="1"/>
    <col min="16" max="16" width="12.5703125" bestFit="1" customWidth="1"/>
    <col min="17" max="17" width="14.42578125" bestFit="1" customWidth="1"/>
    <col min="18" max="18" width="23.7109375" bestFit="1" customWidth="1"/>
    <col min="19" max="19" width="18.5703125" bestFit="1" customWidth="1"/>
  </cols>
  <sheetData>
    <row r="1" spans="1:24" x14ac:dyDescent="0.25">
      <c r="A1" t="s">
        <v>0</v>
      </c>
      <c r="B1" t="s">
        <v>1</v>
      </c>
      <c r="C1" t="s">
        <v>2</v>
      </c>
      <c r="D1" t="s">
        <v>3</v>
      </c>
      <c r="E1" t="s">
        <v>4</v>
      </c>
      <c r="F1" t="s">
        <v>5</v>
      </c>
      <c r="G1" t="s">
        <v>6</v>
      </c>
      <c r="H1" s="3" t="s">
        <v>7</v>
      </c>
      <c r="I1" s="3" t="s">
        <v>8</v>
      </c>
      <c r="J1" t="s">
        <v>9</v>
      </c>
      <c r="K1" t="s">
        <v>10</v>
      </c>
      <c r="L1" t="s">
        <v>804</v>
      </c>
      <c r="M1" s="3" t="s">
        <v>805</v>
      </c>
      <c r="N1" s="3" t="s">
        <v>806</v>
      </c>
      <c r="O1" s="3" t="s">
        <v>807</v>
      </c>
      <c r="P1" t="s">
        <v>808</v>
      </c>
      <c r="Q1" t="s">
        <v>809</v>
      </c>
      <c r="R1" t="s">
        <v>810</v>
      </c>
      <c r="S1" t="s">
        <v>826</v>
      </c>
    </row>
    <row r="2" spans="1:24" x14ac:dyDescent="0.25">
      <c r="A2" t="s">
        <v>11</v>
      </c>
      <c r="B2" t="s">
        <v>12</v>
      </c>
      <c r="C2" s="1">
        <v>45216</v>
      </c>
      <c r="D2" s="1">
        <v>45224</v>
      </c>
      <c r="E2" t="s">
        <v>13</v>
      </c>
      <c r="F2" t="s">
        <v>14</v>
      </c>
      <c r="G2">
        <v>1176</v>
      </c>
      <c r="H2" s="3">
        <v>20.13</v>
      </c>
      <c r="I2" s="3">
        <v>17.809999999999999</v>
      </c>
      <c r="K2" t="s">
        <v>15</v>
      </c>
      <c r="L2">
        <f t="shared" ref="L2:L65" si="0">IF(OR(C2="",D2=""),"",D2-C2)</f>
        <v>8</v>
      </c>
      <c r="M2" s="3">
        <f>Table1[[#This Row],[Quantity]]*Table1[[#This Row],[Negotiated_Price]]</f>
        <v>20944.559999999998</v>
      </c>
      <c r="N2" s="3">
        <f>Table1[[#This Row],[Quantity]]*Table1[[#This Row],[Unit_Price]]</f>
        <v>23672.879999999997</v>
      </c>
      <c r="O2" s="3">
        <f>Table1[[#This Row],[ Original_Spend ]]-Table1[[#This Row],[ Total_Spend ]]</f>
        <v>2728.3199999999997</v>
      </c>
      <c r="P2" s="2">
        <f t="shared" ref="P2:P65" si="1">IFERROR(O2/N2,0)</f>
        <v>0.11525086934923001</v>
      </c>
      <c r="Q2" s="2">
        <f t="shared" ref="Q2:Q65" si="2">IFERROR(J2/G2,0)</f>
        <v>0</v>
      </c>
      <c r="R2" t="str">
        <f>IF(F2&lt;&gt;"Delivered",F2,IF(D2="","Missing Delivery Date",IF(L2&lt;=10,"On Time","Late")))</f>
        <v>Cancelled</v>
      </c>
      <c r="S2" t="str">
        <f>IF(AND(F2&lt;&gt;"Delivered",D2&lt;&gt;""),"Status-Date Conflict",IF(AND(F2="Delivered",D2=""),"Missing Delivery Date","OK"))</f>
        <v>Status-Date Conflict</v>
      </c>
      <c r="T2" s="6"/>
    </row>
    <row r="3" spans="1:24" x14ac:dyDescent="0.25">
      <c r="A3" t="s">
        <v>16</v>
      </c>
      <c r="B3" t="s">
        <v>17</v>
      </c>
      <c r="C3" s="1">
        <v>44676</v>
      </c>
      <c r="D3" s="1">
        <v>44686</v>
      </c>
      <c r="E3" t="s">
        <v>13</v>
      </c>
      <c r="F3" t="s">
        <v>18</v>
      </c>
      <c r="G3">
        <v>1509</v>
      </c>
      <c r="H3" s="3">
        <v>39.32</v>
      </c>
      <c r="I3" s="3">
        <v>37.340000000000003</v>
      </c>
      <c r="J3">
        <v>235</v>
      </c>
      <c r="K3" t="s">
        <v>15</v>
      </c>
      <c r="L3">
        <f t="shared" si="0"/>
        <v>10</v>
      </c>
      <c r="M3" s="3">
        <f>Table1[[#This Row],[Quantity]]*Table1[[#This Row],[Negotiated_Price]]</f>
        <v>56346.060000000005</v>
      </c>
      <c r="N3" s="3">
        <f>Table1[[#This Row],[Quantity]]*Table1[[#This Row],[Unit_Price]]</f>
        <v>59333.88</v>
      </c>
      <c r="O3" s="3">
        <f>Table1[[#This Row],[ Original_Spend ]]-Table1[[#This Row],[ Total_Spend ]]</f>
        <v>2987.8199999999924</v>
      </c>
      <c r="P3" s="2">
        <f t="shared" si="1"/>
        <v>5.0356052899287768E-2</v>
      </c>
      <c r="Q3" s="2">
        <f t="shared" si="2"/>
        <v>0.15573227302849568</v>
      </c>
      <c r="R3" t="str">
        <f t="shared" ref="R3:R66" si="3">IF(F3&lt;&gt;"Delivered",F3,IF(D3="","Missing Delivery Date",IF(L3&lt;=10,"On Time","Late")))</f>
        <v>On Time</v>
      </c>
      <c r="S3" t="str">
        <f t="shared" ref="S3:S66" si="4">IF(AND(F3&lt;&gt;"Delivered",D3&lt;&gt;""),"Status-Date Conflict",IF(AND(F3="Delivered",D3=""),"Missing Delivery Date","OK"))</f>
        <v>OK</v>
      </c>
    </row>
    <row r="4" spans="1:24" x14ac:dyDescent="0.25">
      <c r="A4" t="s">
        <v>19</v>
      </c>
      <c r="B4" t="s">
        <v>20</v>
      </c>
      <c r="C4" s="1">
        <v>44587</v>
      </c>
      <c r="D4" s="1">
        <v>44607</v>
      </c>
      <c r="E4" t="s">
        <v>21</v>
      </c>
      <c r="F4" t="s">
        <v>18</v>
      </c>
      <c r="G4">
        <v>910</v>
      </c>
      <c r="H4" s="3">
        <v>95.51</v>
      </c>
      <c r="I4" s="3">
        <v>92.26</v>
      </c>
      <c r="J4">
        <v>41</v>
      </c>
      <c r="K4" t="s">
        <v>15</v>
      </c>
      <c r="L4">
        <f t="shared" si="0"/>
        <v>20</v>
      </c>
      <c r="M4" s="3">
        <f>Table1[[#This Row],[Quantity]]*Table1[[#This Row],[Negotiated_Price]]</f>
        <v>83956.6</v>
      </c>
      <c r="N4" s="3">
        <f>Table1[[#This Row],[Quantity]]*Table1[[#This Row],[Unit_Price]]</f>
        <v>86914.1</v>
      </c>
      <c r="O4" s="3">
        <f>Table1[[#This Row],[ Original_Spend ]]-Table1[[#This Row],[ Total_Spend ]]</f>
        <v>2957.5</v>
      </c>
      <c r="P4" s="2">
        <f t="shared" si="1"/>
        <v>3.4027850486860009E-2</v>
      </c>
      <c r="Q4" s="2">
        <f t="shared" si="2"/>
        <v>4.5054945054945054E-2</v>
      </c>
      <c r="R4" t="str">
        <f t="shared" si="3"/>
        <v>Late</v>
      </c>
      <c r="S4" t="str">
        <f t="shared" si="4"/>
        <v>OK</v>
      </c>
    </row>
    <row r="5" spans="1:24" x14ac:dyDescent="0.25">
      <c r="A5" t="s">
        <v>22</v>
      </c>
      <c r="B5" t="s">
        <v>23</v>
      </c>
      <c r="C5" s="1">
        <v>44843</v>
      </c>
      <c r="D5" s="1">
        <v>44862</v>
      </c>
      <c r="E5" t="s">
        <v>24</v>
      </c>
      <c r="F5" t="s">
        <v>18</v>
      </c>
      <c r="G5">
        <v>1344</v>
      </c>
      <c r="H5" s="3">
        <v>99.85</v>
      </c>
      <c r="I5" s="3">
        <v>95.52</v>
      </c>
      <c r="J5">
        <v>112</v>
      </c>
      <c r="K5" t="s">
        <v>15</v>
      </c>
      <c r="L5">
        <f t="shared" si="0"/>
        <v>19</v>
      </c>
      <c r="M5" s="3">
        <f>Table1[[#This Row],[Quantity]]*Table1[[#This Row],[Negotiated_Price]]</f>
        <v>128378.87999999999</v>
      </c>
      <c r="N5" s="3">
        <f>Table1[[#This Row],[Quantity]]*Table1[[#This Row],[Unit_Price]]</f>
        <v>134198.39999999999</v>
      </c>
      <c r="O5" s="3">
        <f>Table1[[#This Row],[ Original_Spend ]]-Table1[[#This Row],[ Total_Spend ]]</f>
        <v>5819.5200000000041</v>
      </c>
      <c r="P5" s="2">
        <f t="shared" si="1"/>
        <v>4.336504757135707E-2</v>
      </c>
      <c r="Q5" s="2">
        <f t="shared" si="2"/>
        <v>8.3333333333333329E-2</v>
      </c>
      <c r="R5" t="str">
        <f t="shared" si="3"/>
        <v>Late</v>
      </c>
      <c r="S5" t="str">
        <f t="shared" si="4"/>
        <v>OK</v>
      </c>
    </row>
    <row r="6" spans="1:24" x14ac:dyDescent="0.25">
      <c r="A6" t="s">
        <v>25</v>
      </c>
      <c r="B6" t="s">
        <v>17</v>
      </c>
      <c r="C6" s="1">
        <v>44812</v>
      </c>
      <c r="D6" s="1">
        <v>44824</v>
      </c>
      <c r="E6" t="s">
        <v>26</v>
      </c>
      <c r="F6" t="s">
        <v>18</v>
      </c>
      <c r="G6">
        <v>1180</v>
      </c>
      <c r="H6" s="3">
        <v>64.069999999999993</v>
      </c>
      <c r="I6" s="3">
        <v>60.53</v>
      </c>
      <c r="J6">
        <v>171</v>
      </c>
      <c r="K6" t="s">
        <v>27</v>
      </c>
      <c r="L6">
        <f t="shared" si="0"/>
        <v>12</v>
      </c>
      <c r="M6" s="3">
        <f>Table1[[#This Row],[Quantity]]*Table1[[#This Row],[Negotiated_Price]]</f>
        <v>71425.399999999994</v>
      </c>
      <c r="N6" s="3">
        <f>Table1[[#This Row],[Quantity]]*Table1[[#This Row],[Unit_Price]]</f>
        <v>75602.599999999991</v>
      </c>
      <c r="O6" s="3">
        <f>Table1[[#This Row],[ Original_Spend ]]-Table1[[#This Row],[ Total_Spend ]]</f>
        <v>4177.1999999999971</v>
      </c>
      <c r="P6" s="2">
        <f t="shared" si="1"/>
        <v>5.5252068050569654E-2</v>
      </c>
      <c r="Q6" s="2">
        <f t="shared" si="2"/>
        <v>0.14491525423728813</v>
      </c>
      <c r="R6" t="str">
        <f t="shared" si="3"/>
        <v>Late</v>
      </c>
      <c r="S6" t="str">
        <f t="shared" si="4"/>
        <v>OK</v>
      </c>
    </row>
    <row r="7" spans="1:24" x14ac:dyDescent="0.25">
      <c r="A7" t="s">
        <v>28</v>
      </c>
      <c r="B7" t="s">
        <v>29</v>
      </c>
      <c r="C7" s="1">
        <v>44790</v>
      </c>
      <c r="D7" s="1">
        <v>44802</v>
      </c>
      <c r="E7" t="s">
        <v>21</v>
      </c>
      <c r="F7" t="s">
        <v>18</v>
      </c>
      <c r="G7">
        <v>1145</v>
      </c>
      <c r="H7" s="3">
        <v>69.209999999999994</v>
      </c>
      <c r="I7" s="3">
        <v>63.57</v>
      </c>
      <c r="J7">
        <v>39</v>
      </c>
      <c r="K7" t="s">
        <v>15</v>
      </c>
      <c r="L7">
        <f t="shared" si="0"/>
        <v>12</v>
      </c>
      <c r="M7" s="3">
        <f>Table1[[#This Row],[Quantity]]*Table1[[#This Row],[Negotiated_Price]]</f>
        <v>72787.649999999994</v>
      </c>
      <c r="N7" s="3">
        <f>Table1[[#This Row],[Quantity]]*Table1[[#This Row],[Unit_Price]]</f>
        <v>79245.45</v>
      </c>
      <c r="O7" s="3">
        <f>Table1[[#This Row],[ Original_Spend ]]-Table1[[#This Row],[ Total_Spend ]]</f>
        <v>6457.8000000000029</v>
      </c>
      <c r="P7" s="2">
        <f t="shared" si="1"/>
        <v>8.1491114000866963E-2</v>
      </c>
      <c r="Q7" s="2">
        <f t="shared" si="2"/>
        <v>3.4061135371179038E-2</v>
      </c>
      <c r="R7" t="str">
        <f t="shared" si="3"/>
        <v>Late</v>
      </c>
      <c r="S7" t="str">
        <f t="shared" si="4"/>
        <v>OK</v>
      </c>
    </row>
    <row r="8" spans="1:24" x14ac:dyDescent="0.25">
      <c r="A8" t="s">
        <v>30</v>
      </c>
      <c r="B8" t="s">
        <v>20</v>
      </c>
      <c r="C8" s="1">
        <v>44704</v>
      </c>
      <c r="D8" s="1">
        <v>44715</v>
      </c>
      <c r="E8" t="s">
        <v>21</v>
      </c>
      <c r="F8" t="s">
        <v>18</v>
      </c>
      <c r="G8">
        <v>1774</v>
      </c>
      <c r="H8" s="3">
        <v>51.37</v>
      </c>
      <c r="I8" s="3">
        <v>47.82</v>
      </c>
      <c r="J8">
        <v>96</v>
      </c>
      <c r="K8" t="s">
        <v>27</v>
      </c>
      <c r="L8">
        <f t="shared" si="0"/>
        <v>11</v>
      </c>
      <c r="M8" s="3">
        <f>Table1[[#This Row],[Quantity]]*Table1[[#This Row],[Negotiated_Price]]</f>
        <v>84832.680000000008</v>
      </c>
      <c r="N8" s="3">
        <f>Table1[[#This Row],[Quantity]]*Table1[[#This Row],[Unit_Price]]</f>
        <v>91130.37999999999</v>
      </c>
      <c r="O8" s="3">
        <f>Table1[[#This Row],[ Original_Spend ]]-Table1[[#This Row],[ Total_Spend ]]</f>
        <v>6297.6999999999825</v>
      </c>
      <c r="P8" s="2">
        <f t="shared" si="1"/>
        <v>6.9106482382713469E-2</v>
      </c>
      <c r="Q8" s="2">
        <f t="shared" si="2"/>
        <v>5.4114994363021418E-2</v>
      </c>
      <c r="R8" t="str">
        <f t="shared" si="3"/>
        <v>Late</v>
      </c>
      <c r="S8" t="str">
        <f t="shared" si="4"/>
        <v>OK</v>
      </c>
    </row>
    <row r="9" spans="1:24" x14ac:dyDescent="0.25">
      <c r="A9" t="s">
        <v>31</v>
      </c>
      <c r="B9" t="s">
        <v>12</v>
      </c>
      <c r="C9" s="1">
        <v>44666</v>
      </c>
      <c r="D9" s="1">
        <v>44680</v>
      </c>
      <c r="E9" t="s">
        <v>21</v>
      </c>
      <c r="F9" t="s">
        <v>18</v>
      </c>
      <c r="G9">
        <v>1094</v>
      </c>
      <c r="H9" s="3">
        <v>36.93</v>
      </c>
      <c r="I9" s="3">
        <v>32.78</v>
      </c>
      <c r="J9">
        <v>22</v>
      </c>
      <c r="K9" t="s">
        <v>15</v>
      </c>
      <c r="L9">
        <f t="shared" si="0"/>
        <v>14</v>
      </c>
      <c r="M9" s="3">
        <f>Table1[[#This Row],[Quantity]]*Table1[[#This Row],[Negotiated_Price]]</f>
        <v>35861.32</v>
      </c>
      <c r="N9" s="3">
        <f>Table1[[#This Row],[Quantity]]*Table1[[#This Row],[Unit_Price]]</f>
        <v>40401.42</v>
      </c>
      <c r="O9" s="3">
        <f>Table1[[#This Row],[ Original_Spend ]]-Table1[[#This Row],[ Total_Spend ]]</f>
        <v>4540.0999999999985</v>
      </c>
      <c r="P9" s="2">
        <f t="shared" si="1"/>
        <v>0.11237476306525856</v>
      </c>
      <c r="Q9" s="2">
        <f t="shared" si="2"/>
        <v>2.0109689213893969E-2</v>
      </c>
      <c r="R9" t="str">
        <f t="shared" si="3"/>
        <v>Late</v>
      </c>
      <c r="S9" t="str">
        <f t="shared" si="4"/>
        <v>OK</v>
      </c>
    </row>
    <row r="10" spans="1:24" x14ac:dyDescent="0.25">
      <c r="A10" t="s">
        <v>32</v>
      </c>
      <c r="B10" t="s">
        <v>20</v>
      </c>
      <c r="C10" s="1">
        <v>45254</v>
      </c>
      <c r="D10" s="1">
        <v>45258</v>
      </c>
      <c r="E10" t="s">
        <v>26</v>
      </c>
      <c r="F10" t="s">
        <v>33</v>
      </c>
      <c r="G10">
        <v>1688</v>
      </c>
      <c r="H10" s="3">
        <v>43.93</v>
      </c>
      <c r="I10" s="3">
        <v>39.89</v>
      </c>
      <c r="J10">
        <v>89</v>
      </c>
      <c r="K10" t="s">
        <v>15</v>
      </c>
      <c r="L10">
        <f t="shared" si="0"/>
        <v>4</v>
      </c>
      <c r="M10" s="3">
        <f>Table1[[#This Row],[Quantity]]*Table1[[#This Row],[Negotiated_Price]]</f>
        <v>67334.320000000007</v>
      </c>
      <c r="N10" s="3">
        <f>Table1[[#This Row],[Quantity]]*Table1[[#This Row],[Unit_Price]]</f>
        <v>74153.84</v>
      </c>
      <c r="O10" s="3">
        <f>Table1[[#This Row],[ Original_Spend ]]-Table1[[#This Row],[ Total_Spend ]]</f>
        <v>6819.5199999999895</v>
      </c>
      <c r="P10" s="2">
        <f t="shared" si="1"/>
        <v>9.196448895970849E-2</v>
      </c>
      <c r="Q10" s="2">
        <f t="shared" si="2"/>
        <v>5.2725118483412325E-2</v>
      </c>
      <c r="R10" t="str">
        <f t="shared" si="3"/>
        <v>Partially Delivered</v>
      </c>
      <c r="S10" t="str">
        <f t="shared" si="4"/>
        <v>Status-Date Conflict</v>
      </c>
      <c r="X10" s="7">
        <f>SUM(O2:O778)/SUM(N2:N778)</f>
        <v>7.9731073797026958E-2</v>
      </c>
    </row>
    <row r="11" spans="1:24" x14ac:dyDescent="0.25">
      <c r="A11" t="s">
        <v>34</v>
      </c>
      <c r="B11" t="s">
        <v>20</v>
      </c>
      <c r="C11" s="1">
        <v>45120</v>
      </c>
      <c r="D11" s="1">
        <v>45132</v>
      </c>
      <c r="E11" t="s">
        <v>825</v>
      </c>
      <c r="F11" t="s">
        <v>35</v>
      </c>
      <c r="G11">
        <v>171</v>
      </c>
      <c r="H11" s="3">
        <v>76.87</v>
      </c>
      <c r="I11" s="3">
        <v>70.2</v>
      </c>
      <c r="J11">
        <v>8</v>
      </c>
      <c r="K11" t="s">
        <v>15</v>
      </c>
      <c r="L11">
        <f t="shared" si="0"/>
        <v>12</v>
      </c>
      <c r="M11" s="3">
        <f>Table1[[#This Row],[Quantity]]*Table1[[#This Row],[Negotiated_Price]]</f>
        <v>12004.2</v>
      </c>
      <c r="N11" s="3">
        <f>Table1[[#This Row],[Quantity]]*Table1[[#This Row],[Unit_Price]]</f>
        <v>13144.77</v>
      </c>
      <c r="O11" s="3">
        <f>Table1[[#This Row],[ Original_Spend ]]-Table1[[#This Row],[ Total_Spend ]]</f>
        <v>1140.5699999999997</v>
      </c>
      <c r="P11" s="2">
        <f t="shared" si="1"/>
        <v>8.6769871211135663E-2</v>
      </c>
      <c r="Q11" s="2">
        <f t="shared" si="2"/>
        <v>4.6783625730994149E-2</v>
      </c>
      <c r="R11" t="str">
        <f t="shared" si="3"/>
        <v>Pending</v>
      </c>
      <c r="S11" t="str">
        <f t="shared" si="4"/>
        <v>Status-Date Conflict</v>
      </c>
    </row>
    <row r="12" spans="1:24" x14ac:dyDescent="0.25">
      <c r="A12" t="s">
        <v>36</v>
      </c>
      <c r="B12" t="s">
        <v>29</v>
      </c>
      <c r="C12" s="1">
        <v>44651</v>
      </c>
      <c r="D12" s="1">
        <v>44666</v>
      </c>
      <c r="E12" t="s">
        <v>26</v>
      </c>
      <c r="F12" t="s">
        <v>18</v>
      </c>
      <c r="G12">
        <v>5000</v>
      </c>
      <c r="H12" s="3">
        <v>78.489999999999995</v>
      </c>
      <c r="I12" s="3">
        <v>73.680000000000007</v>
      </c>
      <c r="J12">
        <v>18</v>
      </c>
      <c r="K12" t="s">
        <v>15</v>
      </c>
      <c r="L12">
        <f t="shared" si="0"/>
        <v>15</v>
      </c>
      <c r="M12" s="3">
        <f>Table1[[#This Row],[Quantity]]*Table1[[#This Row],[Negotiated_Price]]</f>
        <v>368400.00000000006</v>
      </c>
      <c r="N12" s="3">
        <f>Table1[[#This Row],[Quantity]]*Table1[[#This Row],[Unit_Price]]</f>
        <v>392450</v>
      </c>
      <c r="O12" s="3">
        <f>Table1[[#This Row],[ Original_Spend ]]-Table1[[#This Row],[ Total_Spend ]]</f>
        <v>24049.999999999942</v>
      </c>
      <c r="P12" s="2">
        <f t="shared" si="1"/>
        <v>6.1281691935278229E-2</v>
      </c>
      <c r="Q12" s="2">
        <f t="shared" si="2"/>
        <v>3.5999999999999999E-3</v>
      </c>
      <c r="R12" t="str">
        <f t="shared" si="3"/>
        <v>Late</v>
      </c>
      <c r="S12" t="str">
        <f t="shared" si="4"/>
        <v>OK</v>
      </c>
    </row>
    <row r="13" spans="1:24" x14ac:dyDescent="0.25">
      <c r="A13" t="s">
        <v>37</v>
      </c>
      <c r="B13" t="s">
        <v>23</v>
      </c>
      <c r="C13" s="1">
        <v>45166</v>
      </c>
      <c r="D13" s="1">
        <v>45180</v>
      </c>
      <c r="E13" t="s">
        <v>26</v>
      </c>
      <c r="F13" t="s">
        <v>18</v>
      </c>
      <c r="G13">
        <v>5000</v>
      </c>
      <c r="H13" s="3">
        <v>88.96</v>
      </c>
      <c r="I13" s="3">
        <v>86.58</v>
      </c>
      <c r="J13">
        <v>115</v>
      </c>
      <c r="K13" t="s">
        <v>15</v>
      </c>
      <c r="L13">
        <f t="shared" si="0"/>
        <v>14</v>
      </c>
      <c r="M13" s="3">
        <f>Table1[[#This Row],[Quantity]]*Table1[[#This Row],[Negotiated_Price]]</f>
        <v>432900</v>
      </c>
      <c r="N13" s="3">
        <f>Table1[[#This Row],[Quantity]]*Table1[[#This Row],[Unit_Price]]</f>
        <v>444799.99999999994</v>
      </c>
      <c r="O13" s="3">
        <f>Table1[[#This Row],[ Original_Spend ]]-Table1[[#This Row],[ Total_Spend ]]</f>
        <v>11899.999999999942</v>
      </c>
      <c r="P13" s="2">
        <f t="shared" si="1"/>
        <v>2.675359712230203E-2</v>
      </c>
      <c r="Q13" s="2">
        <f t="shared" si="2"/>
        <v>2.3E-2</v>
      </c>
      <c r="R13" t="str">
        <f t="shared" si="3"/>
        <v>Late</v>
      </c>
      <c r="S13" t="str">
        <f t="shared" si="4"/>
        <v>OK</v>
      </c>
    </row>
    <row r="14" spans="1:24" x14ac:dyDescent="0.25">
      <c r="A14" t="s">
        <v>38</v>
      </c>
      <c r="B14" t="s">
        <v>23</v>
      </c>
      <c r="C14" s="1">
        <v>44994</v>
      </c>
      <c r="D14" s="1">
        <v>45011</v>
      </c>
      <c r="E14" t="s">
        <v>39</v>
      </c>
      <c r="F14" t="s">
        <v>35</v>
      </c>
      <c r="G14">
        <v>5000</v>
      </c>
      <c r="H14" s="3">
        <v>86.74</v>
      </c>
      <c r="I14" s="3">
        <v>74.86</v>
      </c>
      <c r="J14">
        <v>51</v>
      </c>
      <c r="K14" t="s">
        <v>15</v>
      </c>
      <c r="L14">
        <f t="shared" si="0"/>
        <v>17</v>
      </c>
      <c r="M14" s="3">
        <f>Table1[[#This Row],[Quantity]]*Table1[[#This Row],[Negotiated_Price]]</f>
        <v>374300</v>
      </c>
      <c r="N14" s="3">
        <f>Table1[[#This Row],[Quantity]]*Table1[[#This Row],[Unit_Price]]</f>
        <v>433700</v>
      </c>
      <c r="O14" s="3">
        <f>Table1[[#This Row],[ Original_Spend ]]-Table1[[#This Row],[ Total_Spend ]]</f>
        <v>59400</v>
      </c>
      <c r="P14" s="2">
        <f t="shared" si="1"/>
        <v>0.13696103297210052</v>
      </c>
      <c r="Q14" s="2">
        <f t="shared" si="2"/>
        <v>1.0200000000000001E-2</v>
      </c>
      <c r="R14" t="str">
        <f t="shared" si="3"/>
        <v>Pending</v>
      </c>
      <c r="S14" t="str">
        <f t="shared" si="4"/>
        <v>Status-Date Conflict</v>
      </c>
    </row>
    <row r="15" spans="1:24" x14ac:dyDescent="0.25">
      <c r="A15" t="s">
        <v>40</v>
      </c>
      <c r="B15" t="s">
        <v>23</v>
      </c>
      <c r="C15" s="1">
        <v>44594</v>
      </c>
      <c r="E15" t="s">
        <v>21</v>
      </c>
      <c r="F15" t="s">
        <v>18</v>
      </c>
      <c r="G15">
        <v>5000</v>
      </c>
      <c r="H15" s="3">
        <v>18.3</v>
      </c>
      <c r="I15" s="3">
        <v>16.88</v>
      </c>
      <c r="K15" t="s">
        <v>15</v>
      </c>
      <c r="L15" t="str">
        <f t="shared" si="0"/>
        <v/>
      </c>
      <c r="M15" s="3">
        <f>Table1[[#This Row],[Quantity]]*Table1[[#This Row],[Negotiated_Price]]</f>
        <v>84400</v>
      </c>
      <c r="N15" s="3">
        <f>Table1[[#This Row],[Quantity]]*Table1[[#This Row],[Unit_Price]]</f>
        <v>91500</v>
      </c>
      <c r="O15" s="3">
        <f>Table1[[#This Row],[ Original_Spend ]]-Table1[[#This Row],[ Total_Spend ]]</f>
        <v>7100</v>
      </c>
      <c r="P15" s="2">
        <f t="shared" si="1"/>
        <v>7.7595628415300544E-2</v>
      </c>
      <c r="Q15" s="2">
        <f t="shared" si="2"/>
        <v>0</v>
      </c>
      <c r="R15" t="str">
        <f t="shared" si="3"/>
        <v>Missing Delivery Date</v>
      </c>
      <c r="S15" t="str">
        <f t="shared" si="4"/>
        <v>Missing Delivery Date</v>
      </c>
    </row>
    <row r="16" spans="1:24" x14ac:dyDescent="0.25">
      <c r="A16" t="s">
        <v>41</v>
      </c>
      <c r="B16" t="s">
        <v>17</v>
      </c>
      <c r="C16" s="1">
        <v>44592</v>
      </c>
      <c r="D16" s="1">
        <v>44610</v>
      </c>
      <c r="E16" t="s">
        <v>39</v>
      </c>
      <c r="F16" t="s">
        <v>35</v>
      </c>
      <c r="G16">
        <v>5000</v>
      </c>
      <c r="H16" s="3">
        <v>54.5</v>
      </c>
      <c r="I16" s="3">
        <v>48.45</v>
      </c>
      <c r="J16">
        <v>22</v>
      </c>
      <c r="K16" t="s">
        <v>15</v>
      </c>
      <c r="L16">
        <f t="shared" si="0"/>
        <v>18</v>
      </c>
      <c r="M16" s="3">
        <f>Table1[[#This Row],[Quantity]]*Table1[[#This Row],[Negotiated_Price]]</f>
        <v>242250</v>
      </c>
      <c r="N16" s="3">
        <f>Table1[[#This Row],[Quantity]]*Table1[[#This Row],[Unit_Price]]</f>
        <v>272500</v>
      </c>
      <c r="O16" s="3">
        <f>Table1[[#This Row],[ Original_Spend ]]-Table1[[#This Row],[ Total_Spend ]]</f>
        <v>30250</v>
      </c>
      <c r="P16" s="2">
        <f t="shared" si="1"/>
        <v>0.11100917431192661</v>
      </c>
      <c r="Q16" s="2">
        <f t="shared" si="2"/>
        <v>4.4000000000000003E-3</v>
      </c>
      <c r="R16" t="str">
        <f t="shared" si="3"/>
        <v>Pending</v>
      </c>
      <c r="S16" t="str">
        <f t="shared" si="4"/>
        <v>Status-Date Conflict</v>
      </c>
    </row>
    <row r="17" spans="1:23" x14ac:dyDescent="0.25">
      <c r="A17" t="s">
        <v>42</v>
      </c>
      <c r="B17" t="s">
        <v>23</v>
      </c>
      <c r="C17" s="1">
        <v>44657</v>
      </c>
      <c r="D17" s="1">
        <v>44672</v>
      </c>
      <c r="E17" t="s">
        <v>24</v>
      </c>
      <c r="F17" t="s">
        <v>18</v>
      </c>
      <c r="G17">
        <v>5000</v>
      </c>
      <c r="H17" s="3">
        <v>15.41</v>
      </c>
      <c r="I17" s="3">
        <v>15.12</v>
      </c>
      <c r="K17" t="s">
        <v>15</v>
      </c>
      <c r="L17">
        <f t="shared" si="0"/>
        <v>15</v>
      </c>
      <c r="M17" s="3">
        <f>Table1[[#This Row],[Quantity]]*Table1[[#This Row],[Negotiated_Price]]</f>
        <v>75600</v>
      </c>
      <c r="N17" s="3">
        <f>Table1[[#This Row],[Quantity]]*Table1[[#This Row],[Unit_Price]]</f>
        <v>77050</v>
      </c>
      <c r="O17" s="3">
        <f>Table1[[#This Row],[ Original_Spend ]]-Table1[[#This Row],[ Total_Spend ]]</f>
        <v>1450</v>
      </c>
      <c r="P17" s="2">
        <f t="shared" si="1"/>
        <v>1.8818948734587931E-2</v>
      </c>
      <c r="Q17" s="2">
        <f t="shared" si="2"/>
        <v>0</v>
      </c>
      <c r="R17" t="str">
        <f t="shared" si="3"/>
        <v>Late</v>
      </c>
      <c r="S17" t="str">
        <f t="shared" si="4"/>
        <v>OK</v>
      </c>
    </row>
    <row r="18" spans="1:23" x14ac:dyDescent="0.25">
      <c r="A18" t="s">
        <v>43</v>
      </c>
      <c r="B18" t="s">
        <v>17</v>
      </c>
      <c r="C18" s="1">
        <v>44785</v>
      </c>
      <c r="D18" s="1">
        <v>44804</v>
      </c>
      <c r="E18" t="s">
        <v>21</v>
      </c>
      <c r="F18" t="s">
        <v>18</v>
      </c>
      <c r="G18">
        <v>1173</v>
      </c>
      <c r="H18" s="3">
        <v>61.54</v>
      </c>
      <c r="I18" s="3">
        <v>55.49</v>
      </c>
      <c r="J18">
        <v>172</v>
      </c>
      <c r="K18" t="s">
        <v>27</v>
      </c>
      <c r="L18">
        <f t="shared" si="0"/>
        <v>19</v>
      </c>
      <c r="M18" s="3">
        <f>Table1[[#This Row],[Quantity]]*Table1[[#This Row],[Negotiated_Price]]</f>
        <v>65089.770000000004</v>
      </c>
      <c r="N18" s="3">
        <f>Table1[[#This Row],[Quantity]]*Table1[[#This Row],[Unit_Price]]</f>
        <v>72186.42</v>
      </c>
      <c r="O18" s="3">
        <f>Table1[[#This Row],[ Original_Spend ]]-Table1[[#This Row],[ Total_Spend ]]</f>
        <v>7096.6499999999942</v>
      </c>
      <c r="P18" s="2">
        <f t="shared" si="1"/>
        <v>9.8310042248943699E-2</v>
      </c>
      <c r="Q18" s="2">
        <f t="shared" si="2"/>
        <v>0.14663256606990621</v>
      </c>
      <c r="R18" t="str">
        <f t="shared" si="3"/>
        <v>Late</v>
      </c>
      <c r="S18" t="str">
        <f t="shared" si="4"/>
        <v>OK</v>
      </c>
      <c r="W18">
        <f>COUNTBLANK(J2:J778)</f>
        <v>136</v>
      </c>
    </row>
    <row r="19" spans="1:23" x14ac:dyDescent="0.25">
      <c r="A19" t="s">
        <v>44</v>
      </c>
      <c r="B19" t="s">
        <v>29</v>
      </c>
      <c r="C19" s="1">
        <v>44800</v>
      </c>
      <c r="D19" s="1">
        <v>44808</v>
      </c>
      <c r="E19" t="s">
        <v>26</v>
      </c>
      <c r="F19" t="s">
        <v>18</v>
      </c>
      <c r="G19">
        <v>921</v>
      </c>
      <c r="H19" s="3">
        <v>51.48</v>
      </c>
      <c r="I19" s="3">
        <v>50.61</v>
      </c>
      <c r="K19" t="s">
        <v>15</v>
      </c>
      <c r="L19">
        <f t="shared" si="0"/>
        <v>8</v>
      </c>
      <c r="M19" s="3">
        <f>Table1[[#This Row],[Quantity]]*Table1[[#This Row],[Negotiated_Price]]</f>
        <v>46611.81</v>
      </c>
      <c r="N19" s="3">
        <f>Table1[[#This Row],[Quantity]]*Table1[[#This Row],[Unit_Price]]</f>
        <v>47413.079999999994</v>
      </c>
      <c r="O19" s="3">
        <f>Table1[[#This Row],[ Original_Spend ]]-Table1[[#This Row],[ Total_Spend ]]</f>
        <v>801.2699999999968</v>
      </c>
      <c r="P19" s="2">
        <f t="shared" si="1"/>
        <v>1.6899766899766834E-2</v>
      </c>
      <c r="Q19" s="2">
        <f t="shared" si="2"/>
        <v>0</v>
      </c>
      <c r="R19" t="str">
        <f t="shared" si="3"/>
        <v>On Time</v>
      </c>
      <c r="S19" t="str">
        <f t="shared" si="4"/>
        <v>OK</v>
      </c>
    </row>
    <row r="20" spans="1:23" x14ac:dyDescent="0.25">
      <c r="A20" t="s">
        <v>45</v>
      </c>
      <c r="B20" t="s">
        <v>20</v>
      </c>
      <c r="C20" s="1">
        <v>45079</v>
      </c>
      <c r="D20" s="1">
        <v>45082</v>
      </c>
      <c r="E20" t="s">
        <v>26</v>
      </c>
      <c r="F20" t="s">
        <v>33</v>
      </c>
      <c r="G20">
        <v>1737</v>
      </c>
      <c r="H20" s="3">
        <v>97.53</v>
      </c>
      <c r="I20" s="3">
        <v>87.37</v>
      </c>
      <c r="J20">
        <v>79</v>
      </c>
      <c r="K20" t="s">
        <v>15</v>
      </c>
      <c r="L20">
        <f t="shared" si="0"/>
        <v>3</v>
      </c>
      <c r="M20" s="3">
        <f>Table1[[#This Row],[Quantity]]*Table1[[#This Row],[Negotiated_Price]]</f>
        <v>151761.69</v>
      </c>
      <c r="N20" s="3">
        <f>Table1[[#This Row],[Quantity]]*Table1[[#This Row],[Unit_Price]]</f>
        <v>169409.61000000002</v>
      </c>
      <c r="O20" s="3">
        <f>Table1[[#This Row],[ Original_Spend ]]-Table1[[#This Row],[ Total_Spend ]]</f>
        <v>17647.920000000013</v>
      </c>
      <c r="P20" s="2">
        <f t="shared" si="1"/>
        <v>0.1041730749512971</v>
      </c>
      <c r="Q20" s="2">
        <f t="shared" si="2"/>
        <v>4.5480713874496259E-2</v>
      </c>
      <c r="R20" t="str">
        <f t="shared" si="3"/>
        <v>Partially Delivered</v>
      </c>
      <c r="S20" t="str">
        <f t="shared" si="4"/>
        <v>Status-Date Conflict</v>
      </c>
      <c r="W20">
        <f>COUNTBLANK(D2:D778)</f>
        <v>87</v>
      </c>
    </row>
    <row r="21" spans="1:23" x14ac:dyDescent="0.25">
      <c r="A21" t="s">
        <v>46</v>
      </c>
      <c r="B21" t="s">
        <v>17</v>
      </c>
      <c r="C21" s="1">
        <v>45178</v>
      </c>
      <c r="D21" s="1">
        <v>45193</v>
      </c>
      <c r="E21" t="s">
        <v>26</v>
      </c>
      <c r="F21" t="s">
        <v>18</v>
      </c>
      <c r="G21">
        <v>180</v>
      </c>
      <c r="H21" s="3">
        <v>45.74</v>
      </c>
      <c r="I21" s="3">
        <v>38.89</v>
      </c>
      <c r="K21" t="s">
        <v>27</v>
      </c>
      <c r="L21">
        <f t="shared" si="0"/>
        <v>15</v>
      </c>
      <c r="M21" s="3">
        <f>Table1[[#This Row],[Quantity]]*Table1[[#This Row],[Negotiated_Price]]</f>
        <v>7000.2</v>
      </c>
      <c r="N21" s="3">
        <f>Table1[[#This Row],[Quantity]]*Table1[[#This Row],[Unit_Price]]</f>
        <v>8233.2000000000007</v>
      </c>
      <c r="O21" s="3">
        <f>Table1[[#This Row],[ Original_Spend ]]-Table1[[#This Row],[ Total_Spend ]]</f>
        <v>1233.0000000000009</v>
      </c>
      <c r="P21" s="2">
        <f t="shared" si="1"/>
        <v>0.14975951027547016</v>
      </c>
      <c r="Q21" s="2">
        <f t="shared" si="2"/>
        <v>0</v>
      </c>
      <c r="R21" t="str">
        <f t="shared" si="3"/>
        <v>Late</v>
      </c>
      <c r="S21" t="str">
        <f t="shared" si="4"/>
        <v>OK</v>
      </c>
      <c r="W21" s="2">
        <f>COUNTBLANK(D2:D778)/COUNTA(A2:A778)</f>
        <v>0.11196911196911197</v>
      </c>
    </row>
    <row r="22" spans="1:23" x14ac:dyDescent="0.25">
      <c r="A22" t="s">
        <v>47</v>
      </c>
      <c r="B22" t="s">
        <v>29</v>
      </c>
      <c r="C22" s="1">
        <v>44589</v>
      </c>
      <c r="D22" s="1">
        <v>44604</v>
      </c>
      <c r="E22" t="s">
        <v>39</v>
      </c>
      <c r="F22" t="s">
        <v>14</v>
      </c>
      <c r="G22">
        <v>1735</v>
      </c>
      <c r="H22" s="3">
        <v>20.54</v>
      </c>
      <c r="I22" s="3">
        <v>19.690000000000001</v>
      </c>
      <c r="J22">
        <v>49</v>
      </c>
      <c r="K22" t="s">
        <v>15</v>
      </c>
      <c r="L22">
        <f t="shared" si="0"/>
        <v>15</v>
      </c>
      <c r="M22" s="3">
        <f>Table1[[#This Row],[Quantity]]*Table1[[#This Row],[Negotiated_Price]]</f>
        <v>34162.15</v>
      </c>
      <c r="N22" s="3">
        <f>Table1[[#This Row],[Quantity]]*Table1[[#This Row],[Unit_Price]]</f>
        <v>35636.9</v>
      </c>
      <c r="O22" s="3">
        <f>Table1[[#This Row],[ Original_Spend ]]-Table1[[#This Row],[ Total_Spend ]]</f>
        <v>1474.75</v>
      </c>
      <c r="P22" s="2">
        <f t="shared" si="1"/>
        <v>4.1382667964946447E-2</v>
      </c>
      <c r="Q22" s="2">
        <f t="shared" si="2"/>
        <v>2.824207492795389E-2</v>
      </c>
      <c r="R22" t="str">
        <f t="shared" si="3"/>
        <v>Cancelled</v>
      </c>
      <c r="S22" t="str">
        <f t="shared" si="4"/>
        <v>Status-Date Conflict</v>
      </c>
    </row>
    <row r="23" spans="1:23" x14ac:dyDescent="0.25">
      <c r="A23" t="s">
        <v>48</v>
      </c>
      <c r="B23" t="s">
        <v>17</v>
      </c>
      <c r="C23" s="1">
        <v>45136</v>
      </c>
      <c r="D23" s="1">
        <v>45149</v>
      </c>
      <c r="E23" t="s">
        <v>26</v>
      </c>
      <c r="F23" t="s">
        <v>18</v>
      </c>
      <c r="G23">
        <v>1382</v>
      </c>
      <c r="H23" s="3">
        <v>24.93</v>
      </c>
      <c r="I23" s="3">
        <v>23.75</v>
      </c>
      <c r="K23" t="s">
        <v>15</v>
      </c>
      <c r="L23">
        <f t="shared" si="0"/>
        <v>13</v>
      </c>
      <c r="M23" s="3">
        <f>Table1[[#This Row],[Quantity]]*Table1[[#This Row],[Negotiated_Price]]</f>
        <v>32822.5</v>
      </c>
      <c r="N23" s="3">
        <f>Table1[[#This Row],[Quantity]]*Table1[[#This Row],[Unit_Price]]</f>
        <v>34453.26</v>
      </c>
      <c r="O23" s="3">
        <f>Table1[[#This Row],[ Original_Spend ]]-Table1[[#This Row],[ Total_Spend ]]</f>
        <v>1630.760000000002</v>
      </c>
      <c r="P23" s="2">
        <f t="shared" si="1"/>
        <v>4.7332531087043779E-2</v>
      </c>
      <c r="Q23" s="2">
        <f t="shared" si="2"/>
        <v>0</v>
      </c>
      <c r="R23" t="str">
        <f t="shared" si="3"/>
        <v>Late</v>
      </c>
      <c r="S23" t="str">
        <f t="shared" si="4"/>
        <v>OK</v>
      </c>
    </row>
    <row r="24" spans="1:23" x14ac:dyDescent="0.25">
      <c r="A24" t="s">
        <v>49</v>
      </c>
      <c r="B24" t="s">
        <v>29</v>
      </c>
      <c r="C24" s="1">
        <v>44765</v>
      </c>
      <c r="D24" s="1">
        <v>44781</v>
      </c>
      <c r="E24" t="s">
        <v>21</v>
      </c>
      <c r="F24" t="s">
        <v>18</v>
      </c>
      <c r="G24">
        <v>819</v>
      </c>
      <c r="H24" s="3">
        <v>80.89</v>
      </c>
      <c r="I24" s="3">
        <v>77.03</v>
      </c>
      <c r="J24">
        <v>29</v>
      </c>
      <c r="K24" t="s">
        <v>15</v>
      </c>
      <c r="L24">
        <f t="shared" si="0"/>
        <v>16</v>
      </c>
      <c r="M24" s="3">
        <f>Table1[[#This Row],[Quantity]]*Table1[[#This Row],[Negotiated_Price]]</f>
        <v>63087.57</v>
      </c>
      <c r="N24" s="3">
        <f>Table1[[#This Row],[Quantity]]*Table1[[#This Row],[Unit_Price]]</f>
        <v>66248.91</v>
      </c>
      <c r="O24" s="3">
        <f>Table1[[#This Row],[ Original_Spend ]]-Table1[[#This Row],[ Total_Spend ]]</f>
        <v>3161.3400000000038</v>
      </c>
      <c r="P24" s="2">
        <f t="shared" si="1"/>
        <v>4.771912473729762E-2</v>
      </c>
      <c r="Q24" s="2">
        <f t="shared" si="2"/>
        <v>3.5409035409035408E-2</v>
      </c>
      <c r="R24" t="str">
        <f t="shared" si="3"/>
        <v>Late</v>
      </c>
      <c r="S24" t="str">
        <f t="shared" si="4"/>
        <v>OK</v>
      </c>
    </row>
    <row r="25" spans="1:23" x14ac:dyDescent="0.25">
      <c r="A25" t="s">
        <v>50</v>
      </c>
      <c r="B25" t="s">
        <v>23</v>
      </c>
      <c r="C25" s="1">
        <v>45227</v>
      </c>
      <c r="D25" s="1">
        <v>45233</v>
      </c>
      <c r="E25" t="s">
        <v>13</v>
      </c>
      <c r="F25" t="s">
        <v>33</v>
      </c>
      <c r="G25">
        <v>393</v>
      </c>
      <c r="H25" s="3">
        <v>72.53</v>
      </c>
      <c r="I25" s="3">
        <v>66.31</v>
      </c>
      <c r="J25">
        <v>42</v>
      </c>
      <c r="K25" t="s">
        <v>27</v>
      </c>
      <c r="L25">
        <f t="shared" si="0"/>
        <v>6</v>
      </c>
      <c r="M25" s="3">
        <f>Table1[[#This Row],[Quantity]]*Table1[[#This Row],[Negotiated_Price]]</f>
        <v>26059.83</v>
      </c>
      <c r="N25" s="3">
        <f>Table1[[#This Row],[Quantity]]*Table1[[#This Row],[Unit_Price]]</f>
        <v>28504.29</v>
      </c>
      <c r="O25" s="3">
        <f>Table1[[#This Row],[ Original_Spend ]]-Table1[[#This Row],[ Total_Spend ]]</f>
        <v>2444.4599999999991</v>
      </c>
      <c r="P25" s="2">
        <f t="shared" si="1"/>
        <v>8.5757617537570621E-2</v>
      </c>
      <c r="Q25" s="2">
        <f t="shared" si="2"/>
        <v>0.10687022900763359</v>
      </c>
      <c r="R25" t="str">
        <f t="shared" si="3"/>
        <v>Partially Delivered</v>
      </c>
      <c r="S25" t="str">
        <f t="shared" si="4"/>
        <v>Status-Date Conflict</v>
      </c>
    </row>
    <row r="26" spans="1:23" x14ac:dyDescent="0.25">
      <c r="A26" t="s">
        <v>51</v>
      </c>
      <c r="B26" t="s">
        <v>23</v>
      </c>
      <c r="C26" s="1">
        <v>45280</v>
      </c>
      <c r="D26" s="1">
        <v>45292</v>
      </c>
      <c r="E26" t="s">
        <v>21</v>
      </c>
      <c r="F26" t="s">
        <v>18</v>
      </c>
      <c r="G26">
        <v>1565</v>
      </c>
      <c r="H26" s="3">
        <v>21.3</v>
      </c>
      <c r="I26" s="3">
        <v>20.09</v>
      </c>
      <c r="J26">
        <v>161</v>
      </c>
      <c r="K26" t="s">
        <v>15</v>
      </c>
      <c r="L26">
        <f t="shared" si="0"/>
        <v>12</v>
      </c>
      <c r="M26" s="3">
        <f>Table1[[#This Row],[Quantity]]*Table1[[#This Row],[Negotiated_Price]]</f>
        <v>31440.85</v>
      </c>
      <c r="N26" s="3">
        <f>Table1[[#This Row],[Quantity]]*Table1[[#This Row],[Unit_Price]]</f>
        <v>33334.5</v>
      </c>
      <c r="O26" s="3">
        <f>Table1[[#This Row],[ Original_Spend ]]-Table1[[#This Row],[ Total_Spend ]]</f>
        <v>1893.6500000000015</v>
      </c>
      <c r="P26" s="2">
        <f t="shared" si="1"/>
        <v>5.6807511737089249E-2</v>
      </c>
      <c r="Q26" s="2">
        <f t="shared" si="2"/>
        <v>0.10287539936102237</v>
      </c>
      <c r="R26" t="str">
        <f t="shared" si="3"/>
        <v>Late</v>
      </c>
      <c r="S26" t="str">
        <f t="shared" si="4"/>
        <v>OK</v>
      </c>
    </row>
    <row r="27" spans="1:23" x14ac:dyDescent="0.25">
      <c r="A27" t="s">
        <v>52</v>
      </c>
      <c r="B27" t="s">
        <v>29</v>
      </c>
      <c r="C27" s="1">
        <v>45120</v>
      </c>
      <c r="D27" s="1">
        <v>45131</v>
      </c>
      <c r="E27" t="s">
        <v>24</v>
      </c>
      <c r="F27" t="s">
        <v>18</v>
      </c>
      <c r="G27">
        <v>1487</v>
      </c>
      <c r="H27" s="3">
        <v>19.149999999999999</v>
      </c>
      <c r="I27" s="3">
        <v>17.239999999999998</v>
      </c>
      <c r="K27" t="s">
        <v>15</v>
      </c>
      <c r="L27">
        <f t="shared" si="0"/>
        <v>11</v>
      </c>
      <c r="M27" s="3">
        <f>Table1[[#This Row],[Quantity]]*Table1[[#This Row],[Negotiated_Price]]</f>
        <v>25635.879999999997</v>
      </c>
      <c r="N27" s="3">
        <f>Table1[[#This Row],[Quantity]]*Table1[[#This Row],[Unit_Price]]</f>
        <v>28476.05</v>
      </c>
      <c r="O27" s="3">
        <f>Table1[[#This Row],[ Original_Spend ]]-Table1[[#This Row],[ Total_Spend ]]</f>
        <v>2840.1700000000019</v>
      </c>
      <c r="P27" s="2">
        <f t="shared" si="1"/>
        <v>9.9738903394255937E-2</v>
      </c>
      <c r="Q27" s="2">
        <f t="shared" si="2"/>
        <v>0</v>
      </c>
      <c r="R27" t="str">
        <f t="shared" si="3"/>
        <v>Late</v>
      </c>
      <c r="S27" t="str">
        <f t="shared" si="4"/>
        <v>OK</v>
      </c>
    </row>
    <row r="28" spans="1:23" x14ac:dyDescent="0.25">
      <c r="A28" t="s">
        <v>53</v>
      </c>
      <c r="B28" t="s">
        <v>12</v>
      </c>
      <c r="C28" s="1">
        <v>44991</v>
      </c>
      <c r="D28" s="1">
        <v>45011</v>
      </c>
      <c r="E28" t="s">
        <v>21</v>
      </c>
      <c r="F28" t="s">
        <v>18</v>
      </c>
      <c r="G28">
        <v>855</v>
      </c>
      <c r="H28" s="3">
        <v>78.2</v>
      </c>
      <c r="I28" s="3">
        <v>67.16</v>
      </c>
      <c r="J28">
        <v>17</v>
      </c>
      <c r="K28" t="s">
        <v>15</v>
      </c>
      <c r="L28">
        <f t="shared" si="0"/>
        <v>20</v>
      </c>
      <c r="M28" s="3">
        <f>Table1[[#This Row],[Quantity]]*Table1[[#This Row],[Negotiated_Price]]</f>
        <v>57421.799999999996</v>
      </c>
      <c r="N28" s="3">
        <f>Table1[[#This Row],[Quantity]]*Table1[[#This Row],[Unit_Price]]</f>
        <v>66861</v>
      </c>
      <c r="O28" s="3">
        <f>Table1[[#This Row],[ Original_Spend ]]-Table1[[#This Row],[ Total_Spend ]]</f>
        <v>9439.2000000000044</v>
      </c>
      <c r="P28" s="2">
        <f t="shared" si="1"/>
        <v>0.14117647058823535</v>
      </c>
      <c r="Q28" s="2">
        <f t="shared" si="2"/>
        <v>1.9883040935672516E-2</v>
      </c>
      <c r="R28" t="str">
        <f t="shared" si="3"/>
        <v>Late</v>
      </c>
      <c r="S28" t="str">
        <f t="shared" si="4"/>
        <v>OK</v>
      </c>
    </row>
    <row r="29" spans="1:23" x14ac:dyDescent="0.25">
      <c r="A29" t="s">
        <v>54</v>
      </c>
      <c r="B29" t="s">
        <v>29</v>
      </c>
      <c r="C29" s="1">
        <v>44787</v>
      </c>
      <c r="D29" s="1">
        <v>44796</v>
      </c>
      <c r="E29" t="s">
        <v>26</v>
      </c>
      <c r="F29" t="s">
        <v>18</v>
      </c>
      <c r="G29">
        <v>435</v>
      </c>
      <c r="H29" s="3">
        <v>17.13</v>
      </c>
      <c r="I29" s="3">
        <v>15.84</v>
      </c>
      <c r="J29">
        <v>8</v>
      </c>
      <c r="K29" t="s">
        <v>15</v>
      </c>
      <c r="L29">
        <f t="shared" si="0"/>
        <v>9</v>
      </c>
      <c r="M29" s="3">
        <f>Table1[[#This Row],[Quantity]]*Table1[[#This Row],[Negotiated_Price]]</f>
        <v>6890.4</v>
      </c>
      <c r="N29" s="3">
        <f>Table1[[#This Row],[Quantity]]*Table1[[#This Row],[Unit_Price]]</f>
        <v>7451.5499999999993</v>
      </c>
      <c r="O29" s="3">
        <f>Table1[[#This Row],[ Original_Spend ]]-Table1[[#This Row],[ Total_Spend ]]</f>
        <v>561.14999999999964</v>
      </c>
      <c r="P29" s="2">
        <f t="shared" si="1"/>
        <v>7.5306479859894873E-2</v>
      </c>
      <c r="Q29" s="2">
        <f t="shared" si="2"/>
        <v>1.8390804597701149E-2</v>
      </c>
      <c r="R29" t="str">
        <f t="shared" si="3"/>
        <v>On Time</v>
      </c>
      <c r="S29" t="str">
        <f t="shared" si="4"/>
        <v>OK</v>
      </c>
    </row>
    <row r="30" spans="1:23" x14ac:dyDescent="0.25">
      <c r="A30" t="s">
        <v>55</v>
      </c>
      <c r="B30" t="s">
        <v>17</v>
      </c>
      <c r="C30" s="1">
        <v>45021</v>
      </c>
      <c r="D30" s="1">
        <v>45038</v>
      </c>
      <c r="E30" t="s">
        <v>21</v>
      </c>
      <c r="F30" t="s">
        <v>18</v>
      </c>
      <c r="G30">
        <v>1265</v>
      </c>
      <c r="H30" s="3">
        <v>90.26</v>
      </c>
      <c r="I30" s="3">
        <v>79.47</v>
      </c>
      <c r="J30">
        <v>187</v>
      </c>
      <c r="K30" t="s">
        <v>15</v>
      </c>
      <c r="L30">
        <f t="shared" si="0"/>
        <v>17</v>
      </c>
      <c r="M30" s="3">
        <f>Table1[[#This Row],[Quantity]]*Table1[[#This Row],[Negotiated_Price]]</f>
        <v>100529.55</v>
      </c>
      <c r="N30" s="3">
        <f>Table1[[#This Row],[Quantity]]*Table1[[#This Row],[Unit_Price]]</f>
        <v>114178.90000000001</v>
      </c>
      <c r="O30" s="3">
        <f>Table1[[#This Row],[ Original_Spend ]]-Table1[[#This Row],[ Total_Spend ]]</f>
        <v>13649.350000000006</v>
      </c>
      <c r="P30" s="2">
        <f t="shared" si="1"/>
        <v>0.11954354088189678</v>
      </c>
      <c r="Q30" s="2">
        <f t="shared" si="2"/>
        <v>0.14782608695652175</v>
      </c>
      <c r="R30" t="str">
        <f t="shared" si="3"/>
        <v>Late</v>
      </c>
      <c r="S30" t="str">
        <f t="shared" si="4"/>
        <v>OK</v>
      </c>
    </row>
    <row r="31" spans="1:23" x14ac:dyDescent="0.25">
      <c r="A31" t="s">
        <v>56</v>
      </c>
      <c r="B31" t="s">
        <v>29</v>
      </c>
      <c r="C31" s="1">
        <v>45165</v>
      </c>
      <c r="E31" t="s">
        <v>21</v>
      </c>
      <c r="F31" t="s">
        <v>18</v>
      </c>
      <c r="G31">
        <v>1005</v>
      </c>
      <c r="H31" s="3">
        <v>80.55</v>
      </c>
      <c r="I31" s="3">
        <v>73.31</v>
      </c>
      <c r="J31">
        <v>30</v>
      </c>
      <c r="K31" t="s">
        <v>15</v>
      </c>
      <c r="L31" t="str">
        <f t="shared" si="0"/>
        <v/>
      </c>
      <c r="M31" s="3">
        <f>Table1[[#This Row],[Quantity]]*Table1[[#This Row],[Negotiated_Price]]</f>
        <v>73676.55</v>
      </c>
      <c r="N31" s="3">
        <f>Table1[[#This Row],[Quantity]]*Table1[[#This Row],[Unit_Price]]</f>
        <v>80952.75</v>
      </c>
      <c r="O31" s="3">
        <f>Table1[[#This Row],[ Original_Spend ]]-Table1[[#This Row],[ Total_Spend ]]</f>
        <v>7276.1999999999971</v>
      </c>
      <c r="P31" s="2">
        <f t="shared" si="1"/>
        <v>8.9882060831781463E-2</v>
      </c>
      <c r="Q31" s="2">
        <f t="shared" si="2"/>
        <v>2.9850746268656716E-2</v>
      </c>
      <c r="R31" t="str">
        <f t="shared" si="3"/>
        <v>Missing Delivery Date</v>
      </c>
      <c r="S31" t="str">
        <f t="shared" si="4"/>
        <v>Missing Delivery Date</v>
      </c>
    </row>
    <row r="32" spans="1:23" x14ac:dyDescent="0.25">
      <c r="A32" t="s">
        <v>57</v>
      </c>
      <c r="B32" t="s">
        <v>20</v>
      </c>
      <c r="C32" s="1">
        <v>44846</v>
      </c>
      <c r="D32" s="1">
        <v>44860</v>
      </c>
      <c r="E32" t="s">
        <v>39</v>
      </c>
      <c r="F32" t="s">
        <v>18</v>
      </c>
      <c r="G32">
        <v>326</v>
      </c>
      <c r="H32" s="3">
        <v>18.100000000000001</v>
      </c>
      <c r="I32" s="3">
        <v>15.92</v>
      </c>
      <c r="K32" t="s">
        <v>27</v>
      </c>
      <c r="L32">
        <f t="shared" si="0"/>
        <v>14</v>
      </c>
      <c r="M32" s="3">
        <f>Table1[[#This Row],[Quantity]]*Table1[[#This Row],[Negotiated_Price]]</f>
        <v>5189.92</v>
      </c>
      <c r="N32" s="3">
        <f>Table1[[#This Row],[Quantity]]*Table1[[#This Row],[Unit_Price]]</f>
        <v>5900.6</v>
      </c>
      <c r="O32" s="3">
        <f>Table1[[#This Row],[ Original_Spend ]]-Table1[[#This Row],[ Total_Spend ]]</f>
        <v>710.68000000000029</v>
      </c>
      <c r="P32" s="2">
        <f t="shared" si="1"/>
        <v>0.12044198895027629</v>
      </c>
      <c r="Q32" s="2">
        <f t="shared" si="2"/>
        <v>0</v>
      </c>
      <c r="R32" t="str">
        <f t="shared" si="3"/>
        <v>Late</v>
      </c>
      <c r="S32" t="str">
        <f t="shared" si="4"/>
        <v>OK</v>
      </c>
    </row>
    <row r="33" spans="1:19" x14ac:dyDescent="0.25">
      <c r="A33" t="s">
        <v>58</v>
      </c>
      <c r="B33" t="s">
        <v>12</v>
      </c>
      <c r="C33" s="1">
        <v>44568</v>
      </c>
      <c r="D33" s="1">
        <v>44576</v>
      </c>
      <c r="E33" t="s">
        <v>13</v>
      </c>
      <c r="F33" t="s">
        <v>18</v>
      </c>
      <c r="G33">
        <v>1234</v>
      </c>
      <c r="H33" s="3">
        <v>17.64</v>
      </c>
      <c r="I33" s="3">
        <v>15.66</v>
      </c>
      <c r="J33">
        <v>26</v>
      </c>
      <c r="K33" t="s">
        <v>15</v>
      </c>
      <c r="L33">
        <f t="shared" si="0"/>
        <v>8</v>
      </c>
      <c r="M33" s="3">
        <f>Table1[[#This Row],[Quantity]]*Table1[[#This Row],[Negotiated_Price]]</f>
        <v>19324.439999999999</v>
      </c>
      <c r="N33" s="3">
        <f>Table1[[#This Row],[Quantity]]*Table1[[#This Row],[Unit_Price]]</f>
        <v>21767.760000000002</v>
      </c>
      <c r="O33" s="3">
        <f>Table1[[#This Row],[ Original_Spend ]]-Table1[[#This Row],[ Total_Spend ]]</f>
        <v>2443.3200000000033</v>
      </c>
      <c r="P33" s="2">
        <f t="shared" si="1"/>
        <v>0.11224489795918381</v>
      </c>
      <c r="Q33" s="2">
        <f t="shared" si="2"/>
        <v>2.1069692058346839E-2</v>
      </c>
      <c r="R33" t="str">
        <f t="shared" si="3"/>
        <v>On Time</v>
      </c>
      <c r="S33" t="str">
        <f t="shared" si="4"/>
        <v>OK</v>
      </c>
    </row>
    <row r="34" spans="1:19" x14ac:dyDescent="0.25">
      <c r="A34" t="s">
        <v>59</v>
      </c>
      <c r="B34" t="s">
        <v>29</v>
      </c>
      <c r="C34" s="1">
        <v>44725</v>
      </c>
      <c r="D34" s="1">
        <v>44741</v>
      </c>
      <c r="E34" t="s">
        <v>21</v>
      </c>
      <c r="F34" t="s">
        <v>18</v>
      </c>
      <c r="G34">
        <v>509</v>
      </c>
      <c r="H34" s="3">
        <v>101.27</v>
      </c>
      <c r="I34" s="3">
        <v>97.82</v>
      </c>
      <c r="J34">
        <v>19</v>
      </c>
      <c r="K34" t="s">
        <v>15</v>
      </c>
      <c r="L34">
        <f t="shared" si="0"/>
        <v>16</v>
      </c>
      <c r="M34" s="3">
        <f>Table1[[#This Row],[Quantity]]*Table1[[#This Row],[Negotiated_Price]]</f>
        <v>49790.38</v>
      </c>
      <c r="N34" s="3">
        <f>Table1[[#This Row],[Quantity]]*Table1[[#This Row],[Unit_Price]]</f>
        <v>51546.43</v>
      </c>
      <c r="O34" s="3">
        <f>Table1[[#This Row],[ Original_Spend ]]-Table1[[#This Row],[ Total_Spend ]]</f>
        <v>1756.0500000000029</v>
      </c>
      <c r="P34" s="2">
        <f t="shared" si="1"/>
        <v>3.4067344722030275E-2</v>
      </c>
      <c r="Q34" s="2">
        <f t="shared" si="2"/>
        <v>3.732809430255403E-2</v>
      </c>
      <c r="R34" t="str">
        <f t="shared" si="3"/>
        <v>Late</v>
      </c>
      <c r="S34" t="str">
        <f t="shared" si="4"/>
        <v>OK</v>
      </c>
    </row>
    <row r="35" spans="1:19" x14ac:dyDescent="0.25">
      <c r="A35" t="s">
        <v>60</v>
      </c>
      <c r="B35" t="s">
        <v>12</v>
      </c>
      <c r="C35" s="1">
        <v>45276</v>
      </c>
      <c r="D35" s="1">
        <v>45277</v>
      </c>
      <c r="E35" t="s">
        <v>24</v>
      </c>
      <c r="F35" t="s">
        <v>18</v>
      </c>
      <c r="G35">
        <v>1387</v>
      </c>
      <c r="H35" s="3">
        <v>48.71</v>
      </c>
      <c r="I35" s="3">
        <v>43.71</v>
      </c>
      <c r="J35">
        <v>27</v>
      </c>
      <c r="K35" t="s">
        <v>15</v>
      </c>
      <c r="L35">
        <f t="shared" si="0"/>
        <v>1</v>
      </c>
      <c r="M35" s="3">
        <f>Table1[[#This Row],[Quantity]]*Table1[[#This Row],[Negotiated_Price]]</f>
        <v>60625.770000000004</v>
      </c>
      <c r="N35" s="3">
        <f>Table1[[#This Row],[Quantity]]*Table1[[#This Row],[Unit_Price]]</f>
        <v>67560.77</v>
      </c>
      <c r="O35" s="3">
        <f>Table1[[#This Row],[ Original_Spend ]]-Table1[[#This Row],[ Total_Spend ]]</f>
        <v>6935</v>
      </c>
      <c r="P35" s="2">
        <f t="shared" si="1"/>
        <v>0.10264832683227262</v>
      </c>
      <c r="Q35" s="2">
        <f t="shared" si="2"/>
        <v>1.9466474405191059E-2</v>
      </c>
      <c r="R35" t="str">
        <f t="shared" si="3"/>
        <v>On Time</v>
      </c>
      <c r="S35" t="str">
        <f t="shared" si="4"/>
        <v>OK</v>
      </c>
    </row>
    <row r="36" spans="1:19" x14ac:dyDescent="0.25">
      <c r="A36" t="s">
        <v>61</v>
      </c>
      <c r="B36" t="s">
        <v>12</v>
      </c>
      <c r="C36" s="1">
        <v>44994</v>
      </c>
      <c r="D36" s="1">
        <v>45002</v>
      </c>
      <c r="E36" t="s">
        <v>21</v>
      </c>
      <c r="F36" t="s">
        <v>18</v>
      </c>
      <c r="G36">
        <v>71</v>
      </c>
      <c r="H36" s="3">
        <v>46.39</v>
      </c>
      <c r="I36" s="3">
        <v>43.18</v>
      </c>
      <c r="J36">
        <v>0</v>
      </c>
      <c r="K36" t="s">
        <v>15</v>
      </c>
      <c r="L36">
        <f t="shared" si="0"/>
        <v>8</v>
      </c>
      <c r="M36" s="3">
        <f>Table1[[#This Row],[Quantity]]*Table1[[#This Row],[Negotiated_Price]]</f>
        <v>3065.78</v>
      </c>
      <c r="N36" s="3">
        <f>Table1[[#This Row],[Quantity]]*Table1[[#This Row],[Unit_Price]]</f>
        <v>3293.69</v>
      </c>
      <c r="O36" s="3">
        <f>Table1[[#This Row],[ Original_Spend ]]-Table1[[#This Row],[ Total_Spend ]]</f>
        <v>227.90999999999985</v>
      </c>
      <c r="P36" s="2">
        <f t="shared" si="1"/>
        <v>6.9195947402457381E-2</v>
      </c>
      <c r="Q36" s="2">
        <f t="shared" si="2"/>
        <v>0</v>
      </c>
      <c r="R36" t="str">
        <f t="shared" si="3"/>
        <v>On Time</v>
      </c>
      <c r="S36" t="str">
        <f t="shared" si="4"/>
        <v>OK</v>
      </c>
    </row>
    <row r="37" spans="1:19" x14ac:dyDescent="0.25">
      <c r="A37" t="s">
        <v>62</v>
      </c>
      <c r="B37" t="s">
        <v>29</v>
      </c>
      <c r="C37" s="1">
        <v>44910</v>
      </c>
      <c r="D37" s="1">
        <v>44918</v>
      </c>
      <c r="E37" t="s">
        <v>13</v>
      </c>
      <c r="F37" t="s">
        <v>18</v>
      </c>
      <c r="G37">
        <v>302</v>
      </c>
      <c r="H37" s="3">
        <v>87.73</v>
      </c>
      <c r="I37" s="3">
        <v>81.52</v>
      </c>
      <c r="J37">
        <v>9</v>
      </c>
      <c r="K37" t="s">
        <v>15</v>
      </c>
      <c r="L37">
        <f t="shared" si="0"/>
        <v>8</v>
      </c>
      <c r="M37" s="3">
        <f>Table1[[#This Row],[Quantity]]*Table1[[#This Row],[Negotiated_Price]]</f>
        <v>24619.039999999997</v>
      </c>
      <c r="N37" s="3">
        <f>Table1[[#This Row],[Quantity]]*Table1[[#This Row],[Unit_Price]]</f>
        <v>26494.460000000003</v>
      </c>
      <c r="O37" s="3">
        <f>Table1[[#This Row],[ Original_Spend ]]-Table1[[#This Row],[ Total_Spend ]]</f>
        <v>1875.4200000000055</v>
      </c>
      <c r="P37" s="2">
        <f t="shared" si="1"/>
        <v>7.0785364185569563E-2</v>
      </c>
      <c r="Q37" s="2">
        <f t="shared" si="2"/>
        <v>2.9801324503311258E-2</v>
      </c>
      <c r="R37" t="str">
        <f t="shared" si="3"/>
        <v>On Time</v>
      </c>
      <c r="S37" t="str">
        <f t="shared" si="4"/>
        <v>OK</v>
      </c>
    </row>
    <row r="38" spans="1:19" x14ac:dyDescent="0.25">
      <c r="A38" t="s">
        <v>63</v>
      </c>
      <c r="B38" t="s">
        <v>29</v>
      </c>
      <c r="C38" s="1">
        <v>44846</v>
      </c>
      <c r="D38" s="1">
        <v>44865</v>
      </c>
      <c r="E38" t="s">
        <v>13</v>
      </c>
      <c r="F38" t="s">
        <v>35</v>
      </c>
      <c r="G38">
        <v>797</v>
      </c>
      <c r="H38" s="3">
        <v>99.54</v>
      </c>
      <c r="I38" s="3">
        <v>91.37</v>
      </c>
      <c r="J38">
        <v>18</v>
      </c>
      <c r="K38" t="s">
        <v>15</v>
      </c>
      <c r="L38">
        <f t="shared" si="0"/>
        <v>19</v>
      </c>
      <c r="M38" s="3">
        <f>Table1[[#This Row],[Quantity]]*Table1[[#This Row],[Negotiated_Price]]</f>
        <v>72821.89</v>
      </c>
      <c r="N38" s="3">
        <f>Table1[[#This Row],[Quantity]]*Table1[[#This Row],[Unit_Price]]</f>
        <v>79333.38</v>
      </c>
      <c r="O38" s="3">
        <f>Table1[[#This Row],[ Original_Spend ]]-Table1[[#This Row],[ Total_Spend ]]</f>
        <v>6511.4900000000052</v>
      </c>
      <c r="P38" s="2">
        <f t="shared" si="1"/>
        <v>8.2077556761101123E-2</v>
      </c>
      <c r="Q38" s="2">
        <f t="shared" si="2"/>
        <v>2.258469259723965E-2</v>
      </c>
      <c r="R38" t="str">
        <f t="shared" si="3"/>
        <v>Pending</v>
      </c>
      <c r="S38" t="str">
        <f t="shared" si="4"/>
        <v>Status-Date Conflict</v>
      </c>
    </row>
    <row r="39" spans="1:19" x14ac:dyDescent="0.25">
      <c r="A39" t="s">
        <v>64</v>
      </c>
      <c r="B39" t="s">
        <v>23</v>
      </c>
      <c r="C39" s="1">
        <v>44721</v>
      </c>
      <c r="D39" s="1">
        <v>44739</v>
      </c>
      <c r="E39" t="s">
        <v>13</v>
      </c>
      <c r="F39" t="s">
        <v>35</v>
      </c>
      <c r="G39">
        <v>906</v>
      </c>
      <c r="H39" s="3">
        <v>101.21</v>
      </c>
      <c r="I39" s="3">
        <v>90.9</v>
      </c>
      <c r="J39">
        <v>94</v>
      </c>
      <c r="K39" t="s">
        <v>15</v>
      </c>
      <c r="L39">
        <f t="shared" si="0"/>
        <v>18</v>
      </c>
      <c r="M39" s="3">
        <f>Table1[[#This Row],[Quantity]]*Table1[[#This Row],[Negotiated_Price]]</f>
        <v>82355.400000000009</v>
      </c>
      <c r="N39" s="3">
        <f>Table1[[#This Row],[Quantity]]*Table1[[#This Row],[Unit_Price]]</f>
        <v>91696.26</v>
      </c>
      <c r="O39" s="3">
        <f>Table1[[#This Row],[ Original_Spend ]]-Table1[[#This Row],[ Total_Spend ]]</f>
        <v>9340.859999999986</v>
      </c>
      <c r="P39" s="2">
        <f t="shared" si="1"/>
        <v>0.10186740440667903</v>
      </c>
      <c r="Q39" s="2">
        <f t="shared" si="2"/>
        <v>0.10375275938189846</v>
      </c>
      <c r="R39" t="str">
        <f t="shared" si="3"/>
        <v>Pending</v>
      </c>
      <c r="S39" t="str">
        <f t="shared" si="4"/>
        <v>Status-Date Conflict</v>
      </c>
    </row>
    <row r="40" spans="1:19" x14ac:dyDescent="0.25">
      <c r="A40" t="s">
        <v>65</v>
      </c>
      <c r="B40" t="s">
        <v>29</v>
      </c>
      <c r="C40" s="1">
        <v>44782</v>
      </c>
      <c r="D40" s="1">
        <v>44796</v>
      </c>
      <c r="E40" t="s">
        <v>13</v>
      </c>
      <c r="F40" t="s">
        <v>18</v>
      </c>
      <c r="G40">
        <v>1634</v>
      </c>
      <c r="H40" s="3">
        <v>80.53</v>
      </c>
      <c r="I40" s="3">
        <v>76.150000000000006</v>
      </c>
      <c r="J40">
        <v>50</v>
      </c>
      <c r="K40" t="s">
        <v>15</v>
      </c>
      <c r="L40">
        <f t="shared" si="0"/>
        <v>14</v>
      </c>
      <c r="M40" s="3">
        <f>Table1[[#This Row],[Quantity]]*Table1[[#This Row],[Negotiated_Price]]</f>
        <v>124429.1</v>
      </c>
      <c r="N40" s="3">
        <f>Table1[[#This Row],[Quantity]]*Table1[[#This Row],[Unit_Price]]</f>
        <v>131586.01999999999</v>
      </c>
      <c r="O40" s="3">
        <f>Table1[[#This Row],[ Original_Spend ]]-Table1[[#This Row],[ Total_Spend ]]</f>
        <v>7156.9199999999837</v>
      </c>
      <c r="P40" s="2">
        <f t="shared" si="1"/>
        <v>5.4389668446541542E-2</v>
      </c>
      <c r="Q40" s="2">
        <f t="shared" si="2"/>
        <v>3.0599755201958383E-2</v>
      </c>
      <c r="R40" t="str">
        <f t="shared" si="3"/>
        <v>Late</v>
      </c>
      <c r="S40" t="str">
        <f t="shared" si="4"/>
        <v>OK</v>
      </c>
    </row>
    <row r="41" spans="1:19" x14ac:dyDescent="0.25">
      <c r="A41" t="s">
        <v>66</v>
      </c>
      <c r="B41" t="s">
        <v>29</v>
      </c>
      <c r="C41" s="1">
        <v>44906</v>
      </c>
      <c r="E41" t="s">
        <v>13</v>
      </c>
      <c r="F41" t="s">
        <v>18</v>
      </c>
      <c r="G41">
        <v>524</v>
      </c>
      <c r="H41" s="3">
        <v>46.28</v>
      </c>
      <c r="I41" s="3">
        <v>39.65</v>
      </c>
      <c r="J41">
        <v>14</v>
      </c>
      <c r="K41" t="s">
        <v>15</v>
      </c>
      <c r="L41" t="str">
        <f t="shared" si="0"/>
        <v/>
      </c>
      <c r="M41" s="3">
        <f>Table1[[#This Row],[Quantity]]*Table1[[#This Row],[Negotiated_Price]]</f>
        <v>20776.599999999999</v>
      </c>
      <c r="N41" s="3">
        <f>Table1[[#This Row],[Quantity]]*Table1[[#This Row],[Unit_Price]]</f>
        <v>24250.720000000001</v>
      </c>
      <c r="O41" s="3">
        <f>Table1[[#This Row],[ Original_Spend ]]-Table1[[#This Row],[ Total_Spend ]]</f>
        <v>3474.1200000000026</v>
      </c>
      <c r="P41" s="2">
        <f t="shared" si="1"/>
        <v>0.14325842696629223</v>
      </c>
      <c r="Q41" s="2">
        <f t="shared" si="2"/>
        <v>2.6717557251908396E-2</v>
      </c>
      <c r="R41" t="str">
        <f t="shared" si="3"/>
        <v>Missing Delivery Date</v>
      </c>
      <c r="S41" t="str">
        <f t="shared" si="4"/>
        <v>Missing Delivery Date</v>
      </c>
    </row>
    <row r="42" spans="1:19" x14ac:dyDescent="0.25">
      <c r="A42" t="s">
        <v>67</v>
      </c>
      <c r="B42" t="s">
        <v>23</v>
      </c>
      <c r="C42" s="1">
        <v>44666</v>
      </c>
      <c r="D42" s="1">
        <v>44678</v>
      </c>
      <c r="E42" t="s">
        <v>39</v>
      </c>
      <c r="F42" t="s">
        <v>18</v>
      </c>
      <c r="G42">
        <v>1132</v>
      </c>
      <c r="H42" s="3">
        <v>17.78</v>
      </c>
      <c r="I42" s="3">
        <v>15.36</v>
      </c>
      <c r="J42">
        <v>96</v>
      </c>
      <c r="K42" t="s">
        <v>15</v>
      </c>
      <c r="L42">
        <f t="shared" si="0"/>
        <v>12</v>
      </c>
      <c r="M42" s="3">
        <f>Table1[[#This Row],[Quantity]]*Table1[[#This Row],[Negotiated_Price]]</f>
        <v>17387.52</v>
      </c>
      <c r="N42" s="3">
        <f>Table1[[#This Row],[Quantity]]*Table1[[#This Row],[Unit_Price]]</f>
        <v>20126.960000000003</v>
      </c>
      <c r="O42" s="3">
        <f>Table1[[#This Row],[ Original_Spend ]]-Table1[[#This Row],[ Total_Spend ]]</f>
        <v>2739.4400000000023</v>
      </c>
      <c r="P42" s="2">
        <f t="shared" si="1"/>
        <v>0.13610798650168737</v>
      </c>
      <c r="Q42" s="2">
        <f t="shared" si="2"/>
        <v>8.4805653710247356E-2</v>
      </c>
      <c r="R42" t="str">
        <f t="shared" si="3"/>
        <v>Late</v>
      </c>
      <c r="S42" t="str">
        <f t="shared" si="4"/>
        <v>OK</v>
      </c>
    </row>
    <row r="43" spans="1:19" x14ac:dyDescent="0.25">
      <c r="A43" t="s">
        <v>68</v>
      </c>
      <c r="B43" t="s">
        <v>23</v>
      </c>
      <c r="C43" s="1">
        <v>44656</v>
      </c>
      <c r="D43" s="1">
        <v>44665</v>
      </c>
      <c r="E43" t="s">
        <v>13</v>
      </c>
      <c r="F43" t="s">
        <v>18</v>
      </c>
      <c r="G43">
        <v>560</v>
      </c>
      <c r="H43" s="3">
        <v>81.14</v>
      </c>
      <c r="I43" s="3">
        <v>77.87</v>
      </c>
      <c r="J43">
        <v>34</v>
      </c>
      <c r="K43" t="s">
        <v>27</v>
      </c>
      <c r="L43">
        <f t="shared" si="0"/>
        <v>9</v>
      </c>
      <c r="M43" s="3">
        <f>Table1[[#This Row],[Quantity]]*Table1[[#This Row],[Negotiated_Price]]</f>
        <v>43607.200000000004</v>
      </c>
      <c r="N43" s="3">
        <f>Table1[[#This Row],[Quantity]]*Table1[[#This Row],[Unit_Price]]</f>
        <v>45438.400000000001</v>
      </c>
      <c r="O43" s="3">
        <f>Table1[[#This Row],[ Original_Spend ]]-Table1[[#This Row],[ Total_Spend ]]</f>
        <v>1831.1999999999971</v>
      </c>
      <c r="P43" s="2">
        <f t="shared" si="1"/>
        <v>4.0300714813901829E-2</v>
      </c>
      <c r="Q43" s="2">
        <f t="shared" si="2"/>
        <v>6.0714285714285714E-2</v>
      </c>
      <c r="R43" t="str">
        <f t="shared" si="3"/>
        <v>On Time</v>
      </c>
      <c r="S43" t="str">
        <f t="shared" si="4"/>
        <v>OK</v>
      </c>
    </row>
    <row r="44" spans="1:19" x14ac:dyDescent="0.25">
      <c r="A44" t="s">
        <v>69</v>
      </c>
      <c r="B44" t="s">
        <v>20</v>
      </c>
      <c r="C44" s="1">
        <v>44951</v>
      </c>
      <c r="D44" s="1">
        <v>44959</v>
      </c>
      <c r="E44" t="s">
        <v>39</v>
      </c>
      <c r="F44" t="s">
        <v>18</v>
      </c>
      <c r="G44">
        <v>1755</v>
      </c>
      <c r="H44" s="3">
        <v>63.87</v>
      </c>
      <c r="I44" s="3">
        <v>58.4</v>
      </c>
      <c r="J44">
        <v>85</v>
      </c>
      <c r="K44" t="s">
        <v>15</v>
      </c>
      <c r="L44">
        <f t="shared" si="0"/>
        <v>8</v>
      </c>
      <c r="M44" s="3">
        <f>Table1[[#This Row],[Quantity]]*Table1[[#This Row],[Negotiated_Price]]</f>
        <v>102492</v>
      </c>
      <c r="N44" s="3">
        <f>Table1[[#This Row],[Quantity]]*Table1[[#This Row],[Unit_Price]]</f>
        <v>112091.84999999999</v>
      </c>
      <c r="O44" s="3">
        <f>Table1[[#This Row],[ Original_Spend ]]-Table1[[#This Row],[ Total_Spend ]]</f>
        <v>9599.8499999999913</v>
      </c>
      <c r="P44" s="2">
        <f t="shared" si="1"/>
        <v>8.5642711758258896E-2</v>
      </c>
      <c r="Q44" s="2">
        <f t="shared" si="2"/>
        <v>4.843304843304843E-2</v>
      </c>
      <c r="R44" t="str">
        <f t="shared" si="3"/>
        <v>On Time</v>
      </c>
      <c r="S44" t="str">
        <f t="shared" si="4"/>
        <v>OK</v>
      </c>
    </row>
    <row r="45" spans="1:19" x14ac:dyDescent="0.25">
      <c r="A45" t="s">
        <v>70</v>
      </c>
      <c r="B45" t="s">
        <v>29</v>
      </c>
      <c r="C45" s="1">
        <v>44661</v>
      </c>
      <c r="D45" s="1">
        <v>44668</v>
      </c>
      <c r="E45" t="s">
        <v>21</v>
      </c>
      <c r="F45" t="s">
        <v>18</v>
      </c>
      <c r="G45">
        <v>1549</v>
      </c>
      <c r="H45" s="3">
        <v>48.9</v>
      </c>
      <c r="I45" s="3">
        <v>42.42</v>
      </c>
      <c r="J45">
        <v>48</v>
      </c>
      <c r="K45" t="s">
        <v>15</v>
      </c>
      <c r="L45">
        <f t="shared" si="0"/>
        <v>7</v>
      </c>
      <c r="M45" s="3">
        <f>Table1[[#This Row],[Quantity]]*Table1[[#This Row],[Negotiated_Price]]</f>
        <v>65708.58</v>
      </c>
      <c r="N45" s="3">
        <f>Table1[[#This Row],[Quantity]]*Table1[[#This Row],[Unit_Price]]</f>
        <v>75746.099999999991</v>
      </c>
      <c r="O45" s="3">
        <f>Table1[[#This Row],[ Original_Spend ]]-Table1[[#This Row],[ Total_Spend ]]</f>
        <v>10037.51999999999</v>
      </c>
      <c r="P45" s="2">
        <f t="shared" si="1"/>
        <v>0.13251533742331276</v>
      </c>
      <c r="Q45" s="2">
        <f t="shared" si="2"/>
        <v>3.0987734021949646E-2</v>
      </c>
      <c r="R45" t="str">
        <f t="shared" si="3"/>
        <v>On Time</v>
      </c>
      <c r="S45" t="str">
        <f t="shared" si="4"/>
        <v>OK</v>
      </c>
    </row>
    <row r="46" spans="1:19" x14ac:dyDescent="0.25">
      <c r="A46" t="s">
        <v>71</v>
      </c>
      <c r="B46" t="s">
        <v>17</v>
      </c>
      <c r="C46" s="1">
        <v>44929</v>
      </c>
      <c r="D46" s="1">
        <v>44947</v>
      </c>
      <c r="E46" t="s">
        <v>21</v>
      </c>
      <c r="F46" t="s">
        <v>18</v>
      </c>
      <c r="G46">
        <v>749</v>
      </c>
      <c r="H46" s="3">
        <v>97.07</v>
      </c>
      <c r="I46" s="3">
        <v>94.16</v>
      </c>
      <c r="J46">
        <v>123</v>
      </c>
      <c r="K46" t="s">
        <v>15</v>
      </c>
      <c r="L46">
        <f t="shared" si="0"/>
        <v>18</v>
      </c>
      <c r="M46" s="3">
        <f>Table1[[#This Row],[Quantity]]*Table1[[#This Row],[Negotiated_Price]]</f>
        <v>70525.84</v>
      </c>
      <c r="N46" s="3">
        <f>Table1[[#This Row],[Quantity]]*Table1[[#This Row],[Unit_Price]]</f>
        <v>72705.429999999993</v>
      </c>
      <c r="O46" s="3">
        <f>Table1[[#This Row],[ Original_Spend ]]-Table1[[#This Row],[ Total_Spend ]]</f>
        <v>2179.5899999999965</v>
      </c>
      <c r="P46" s="2">
        <f t="shared" si="1"/>
        <v>2.9978366127536783E-2</v>
      </c>
      <c r="Q46" s="2">
        <f t="shared" si="2"/>
        <v>0.16421895861148197</v>
      </c>
      <c r="R46" t="str">
        <f t="shared" si="3"/>
        <v>Late</v>
      </c>
      <c r="S46" t="str">
        <f t="shared" si="4"/>
        <v>OK</v>
      </c>
    </row>
    <row r="47" spans="1:19" x14ac:dyDescent="0.25">
      <c r="A47" t="s">
        <v>72</v>
      </c>
      <c r="B47" t="s">
        <v>12</v>
      </c>
      <c r="C47" s="1">
        <v>44914</v>
      </c>
      <c r="E47" t="s">
        <v>39</v>
      </c>
      <c r="F47" t="s">
        <v>18</v>
      </c>
      <c r="G47">
        <v>1025</v>
      </c>
      <c r="H47" s="3">
        <v>21.11</v>
      </c>
      <c r="I47" s="3">
        <v>19.25</v>
      </c>
      <c r="J47">
        <v>15</v>
      </c>
      <c r="K47" t="s">
        <v>15</v>
      </c>
      <c r="L47" t="str">
        <f t="shared" si="0"/>
        <v/>
      </c>
      <c r="M47" s="3">
        <f>Table1[[#This Row],[Quantity]]*Table1[[#This Row],[Negotiated_Price]]</f>
        <v>19731.25</v>
      </c>
      <c r="N47" s="3">
        <f>Table1[[#This Row],[Quantity]]*Table1[[#This Row],[Unit_Price]]</f>
        <v>21637.75</v>
      </c>
      <c r="O47" s="3">
        <f>Table1[[#This Row],[ Original_Spend ]]-Table1[[#This Row],[ Total_Spend ]]</f>
        <v>1906.5</v>
      </c>
      <c r="P47" s="2">
        <f t="shared" si="1"/>
        <v>8.8109900521080059E-2</v>
      </c>
      <c r="Q47" s="2">
        <f t="shared" si="2"/>
        <v>1.4634146341463415E-2</v>
      </c>
      <c r="R47" t="str">
        <f t="shared" si="3"/>
        <v>Missing Delivery Date</v>
      </c>
      <c r="S47" t="str">
        <f t="shared" si="4"/>
        <v>Missing Delivery Date</v>
      </c>
    </row>
    <row r="48" spans="1:19" x14ac:dyDescent="0.25">
      <c r="A48" t="s">
        <v>73</v>
      </c>
      <c r="B48" t="s">
        <v>23</v>
      </c>
      <c r="C48" s="1">
        <v>45180</v>
      </c>
      <c r="D48" s="1">
        <v>45187</v>
      </c>
      <c r="E48" t="s">
        <v>26</v>
      </c>
      <c r="F48" t="s">
        <v>18</v>
      </c>
      <c r="G48">
        <v>1856</v>
      </c>
      <c r="H48" s="3">
        <v>59.77</v>
      </c>
      <c r="I48" s="3">
        <v>50.81</v>
      </c>
      <c r="J48">
        <v>191</v>
      </c>
      <c r="K48" t="s">
        <v>15</v>
      </c>
      <c r="L48">
        <f t="shared" si="0"/>
        <v>7</v>
      </c>
      <c r="M48" s="3">
        <f>Table1[[#This Row],[Quantity]]*Table1[[#This Row],[Negotiated_Price]]</f>
        <v>94303.360000000001</v>
      </c>
      <c r="N48" s="3">
        <f>Table1[[#This Row],[Quantity]]*Table1[[#This Row],[Unit_Price]]</f>
        <v>110933.12000000001</v>
      </c>
      <c r="O48" s="3">
        <f>Table1[[#This Row],[ Original_Spend ]]-Table1[[#This Row],[ Total_Spend ]]</f>
        <v>16629.760000000009</v>
      </c>
      <c r="P48" s="2">
        <f t="shared" si="1"/>
        <v>0.14990798059227045</v>
      </c>
      <c r="Q48" s="2">
        <f t="shared" si="2"/>
        <v>0.10290948275862069</v>
      </c>
      <c r="R48" t="str">
        <f t="shared" si="3"/>
        <v>On Time</v>
      </c>
      <c r="S48" t="str">
        <f t="shared" si="4"/>
        <v>OK</v>
      </c>
    </row>
    <row r="49" spans="1:19" x14ac:dyDescent="0.25">
      <c r="A49" t="s">
        <v>74</v>
      </c>
      <c r="B49" t="s">
        <v>29</v>
      </c>
      <c r="C49" s="1">
        <v>44832</v>
      </c>
      <c r="D49" s="1">
        <v>44848</v>
      </c>
      <c r="E49" t="s">
        <v>13</v>
      </c>
      <c r="F49" t="s">
        <v>18</v>
      </c>
      <c r="G49">
        <v>239</v>
      </c>
      <c r="H49" s="3">
        <v>11.46</v>
      </c>
      <c r="I49" s="3">
        <v>11.28</v>
      </c>
      <c r="J49">
        <v>4</v>
      </c>
      <c r="K49" t="s">
        <v>15</v>
      </c>
      <c r="L49">
        <f t="shared" si="0"/>
        <v>16</v>
      </c>
      <c r="M49" s="3">
        <f>Table1[[#This Row],[Quantity]]*Table1[[#This Row],[Negotiated_Price]]</f>
        <v>2695.92</v>
      </c>
      <c r="N49" s="3">
        <f>Table1[[#This Row],[Quantity]]*Table1[[#This Row],[Unit_Price]]</f>
        <v>2738.94</v>
      </c>
      <c r="O49" s="3">
        <f>Table1[[#This Row],[ Original_Spend ]]-Table1[[#This Row],[ Total_Spend ]]</f>
        <v>43.019999999999982</v>
      </c>
      <c r="P49" s="2">
        <f t="shared" si="1"/>
        <v>1.5706806282722505E-2</v>
      </c>
      <c r="Q49" s="2">
        <f t="shared" si="2"/>
        <v>1.6736401673640166E-2</v>
      </c>
      <c r="R49" t="str">
        <f t="shared" si="3"/>
        <v>Late</v>
      </c>
      <c r="S49" t="str">
        <f t="shared" si="4"/>
        <v>OK</v>
      </c>
    </row>
    <row r="50" spans="1:19" x14ac:dyDescent="0.25">
      <c r="A50" t="s">
        <v>75</v>
      </c>
      <c r="B50" t="s">
        <v>17</v>
      </c>
      <c r="C50" s="1">
        <v>44606</v>
      </c>
      <c r="D50" s="1">
        <v>44625</v>
      </c>
      <c r="E50" t="s">
        <v>13</v>
      </c>
      <c r="F50" t="s">
        <v>35</v>
      </c>
      <c r="G50">
        <v>1007</v>
      </c>
      <c r="H50" s="3">
        <v>52.44</v>
      </c>
      <c r="I50" s="3">
        <v>46.06</v>
      </c>
      <c r="J50">
        <v>167</v>
      </c>
      <c r="K50" t="s">
        <v>15</v>
      </c>
      <c r="L50">
        <f t="shared" si="0"/>
        <v>19</v>
      </c>
      <c r="M50" s="3">
        <f>Table1[[#This Row],[Quantity]]*Table1[[#This Row],[Negotiated_Price]]</f>
        <v>46382.420000000006</v>
      </c>
      <c r="N50" s="3">
        <f>Table1[[#This Row],[Quantity]]*Table1[[#This Row],[Unit_Price]]</f>
        <v>52807.079999999994</v>
      </c>
      <c r="O50" s="3">
        <f>Table1[[#This Row],[ Original_Spend ]]-Table1[[#This Row],[ Total_Spend ]]</f>
        <v>6424.6599999999889</v>
      </c>
      <c r="P50" s="2">
        <f t="shared" si="1"/>
        <v>0.12166285278413405</v>
      </c>
      <c r="Q50" s="2">
        <f t="shared" si="2"/>
        <v>0.16583912611717974</v>
      </c>
      <c r="R50" t="str">
        <f t="shared" si="3"/>
        <v>Pending</v>
      </c>
      <c r="S50" t="str">
        <f t="shared" si="4"/>
        <v>Status-Date Conflict</v>
      </c>
    </row>
    <row r="51" spans="1:19" x14ac:dyDescent="0.25">
      <c r="A51" t="s">
        <v>76</v>
      </c>
      <c r="B51" t="s">
        <v>12</v>
      </c>
      <c r="C51" s="1">
        <v>45032</v>
      </c>
      <c r="E51" t="s">
        <v>21</v>
      </c>
      <c r="F51" t="s">
        <v>35</v>
      </c>
      <c r="G51">
        <v>736</v>
      </c>
      <c r="H51" s="3">
        <v>16.2</v>
      </c>
      <c r="I51" s="3">
        <v>15.33</v>
      </c>
      <c r="J51">
        <v>18</v>
      </c>
      <c r="K51" t="s">
        <v>15</v>
      </c>
      <c r="L51" t="str">
        <f t="shared" si="0"/>
        <v/>
      </c>
      <c r="M51" s="3">
        <f>Table1[[#This Row],[Quantity]]*Table1[[#This Row],[Negotiated_Price]]</f>
        <v>11282.88</v>
      </c>
      <c r="N51" s="3">
        <f>Table1[[#This Row],[Quantity]]*Table1[[#This Row],[Unit_Price]]</f>
        <v>11923.199999999999</v>
      </c>
      <c r="O51" s="3">
        <f>Table1[[#This Row],[ Original_Spend ]]-Table1[[#This Row],[ Total_Spend ]]</f>
        <v>640.31999999999971</v>
      </c>
      <c r="P51" s="2">
        <f t="shared" si="1"/>
        <v>5.3703703703703684E-2</v>
      </c>
      <c r="Q51" s="2">
        <f t="shared" si="2"/>
        <v>2.4456521739130436E-2</v>
      </c>
      <c r="R51" t="str">
        <f t="shared" si="3"/>
        <v>Pending</v>
      </c>
      <c r="S51" t="str">
        <f t="shared" si="4"/>
        <v>OK</v>
      </c>
    </row>
    <row r="52" spans="1:19" x14ac:dyDescent="0.25">
      <c r="A52" t="s">
        <v>77</v>
      </c>
      <c r="B52" t="s">
        <v>29</v>
      </c>
      <c r="C52" s="1">
        <v>45111</v>
      </c>
      <c r="D52" s="1">
        <v>45121</v>
      </c>
      <c r="E52" t="s">
        <v>39</v>
      </c>
      <c r="F52" t="s">
        <v>18</v>
      </c>
      <c r="G52">
        <v>1007</v>
      </c>
      <c r="H52" s="3">
        <v>22.56</v>
      </c>
      <c r="I52" s="3">
        <v>19.59</v>
      </c>
      <c r="K52" t="s">
        <v>15</v>
      </c>
      <c r="L52">
        <f t="shared" si="0"/>
        <v>10</v>
      </c>
      <c r="M52" s="3">
        <f>Table1[[#This Row],[Quantity]]*Table1[[#This Row],[Negotiated_Price]]</f>
        <v>19727.13</v>
      </c>
      <c r="N52" s="3">
        <f>Table1[[#This Row],[Quantity]]*Table1[[#This Row],[Unit_Price]]</f>
        <v>22717.919999999998</v>
      </c>
      <c r="O52" s="3">
        <f>Table1[[#This Row],[ Original_Spend ]]-Table1[[#This Row],[ Total_Spend ]]</f>
        <v>2990.7899999999972</v>
      </c>
      <c r="P52" s="2">
        <f t="shared" si="1"/>
        <v>0.13164893617021264</v>
      </c>
      <c r="Q52" s="2">
        <f t="shared" si="2"/>
        <v>0</v>
      </c>
      <c r="R52" t="str">
        <f t="shared" si="3"/>
        <v>On Time</v>
      </c>
      <c r="S52" t="str">
        <f t="shared" si="4"/>
        <v>OK</v>
      </c>
    </row>
    <row r="53" spans="1:19" x14ac:dyDescent="0.25">
      <c r="A53" t="s">
        <v>78</v>
      </c>
      <c r="B53" t="s">
        <v>17</v>
      </c>
      <c r="C53" s="1">
        <v>44689</v>
      </c>
      <c r="E53" t="s">
        <v>13</v>
      </c>
      <c r="F53" t="s">
        <v>18</v>
      </c>
      <c r="G53">
        <v>612</v>
      </c>
      <c r="H53" s="3">
        <v>20.99</v>
      </c>
      <c r="I53" s="3">
        <v>19.75</v>
      </c>
      <c r="J53">
        <v>102</v>
      </c>
      <c r="K53" t="s">
        <v>15</v>
      </c>
      <c r="L53" t="str">
        <f t="shared" si="0"/>
        <v/>
      </c>
      <c r="M53" s="3">
        <f>Table1[[#This Row],[Quantity]]*Table1[[#This Row],[Negotiated_Price]]</f>
        <v>12087</v>
      </c>
      <c r="N53" s="3">
        <f>Table1[[#This Row],[Quantity]]*Table1[[#This Row],[Unit_Price]]</f>
        <v>12845.88</v>
      </c>
      <c r="O53" s="3">
        <f>Table1[[#This Row],[ Original_Spend ]]-Table1[[#This Row],[ Total_Spend ]]</f>
        <v>758.8799999999992</v>
      </c>
      <c r="P53" s="2">
        <f t="shared" si="1"/>
        <v>5.9075750357312946E-2</v>
      </c>
      <c r="Q53" s="2">
        <f t="shared" si="2"/>
        <v>0.16666666666666666</v>
      </c>
      <c r="R53" t="str">
        <f t="shared" si="3"/>
        <v>Missing Delivery Date</v>
      </c>
      <c r="S53" t="str">
        <f t="shared" si="4"/>
        <v>Missing Delivery Date</v>
      </c>
    </row>
    <row r="54" spans="1:19" x14ac:dyDescent="0.25">
      <c r="A54" t="s">
        <v>79</v>
      </c>
      <c r="B54" t="s">
        <v>12</v>
      </c>
      <c r="C54" s="1">
        <v>44949</v>
      </c>
      <c r="D54" s="1">
        <v>44959</v>
      </c>
      <c r="E54" t="s">
        <v>21</v>
      </c>
      <c r="F54" t="s">
        <v>35</v>
      </c>
      <c r="G54">
        <v>1949</v>
      </c>
      <c r="H54" s="3">
        <v>72.53</v>
      </c>
      <c r="I54" s="3">
        <v>63.26</v>
      </c>
      <c r="J54">
        <v>48</v>
      </c>
      <c r="K54" t="s">
        <v>27</v>
      </c>
      <c r="L54">
        <f t="shared" si="0"/>
        <v>10</v>
      </c>
      <c r="M54" s="3">
        <f>Table1[[#This Row],[Quantity]]*Table1[[#This Row],[Negotiated_Price]]</f>
        <v>123293.73999999999</v>
      </c>
      <c r="N54" s="3">
        <f>Table1[[#This Row],[Quantity]]*Table1[[#This Row],[Unit_Price]]</f>
        <v>141360.97</v>
      </c>
      <c r="O54" s="3">
        <f>Table1[[#This Row],[ Original_Spend ]]-Table1[[#This Row],[ Total_Spend ]]</f>
        <v>18067.23000000001</v>
      </c>
      <c r="P54" s="2">
        <f t="shared" si="1"/>
        <v>0.12780918240727981</v>
      </c>
      <c r="Q54" s="2">
        <f t="shared" si="2"/>
        <v>2.4628014366341714E-2</v>
      </c>
      <c r="R54" t="str">
        <f t="shared" si="3"/>
        <v>Pending</v>
      </c>
      <c r="S54" t="str">
        <f t="shared" si="4"/>
        <v>Status-Date Conflict</v>
      </c>
    </row>
    <row r="55" spans="1:19" x14ac:dyDescent="0.25">
      <c r="A55" t="s">
        <v>80</v>
      </c>
      <c r="B55" t="s">
        <v>17</v>
      </c>
      <c r="C55" s="1">
        <v>44642</v>
      </c>
      <c r="D55" s="1">
        <v>44648</v>
      </c>
      <c r="E55" t="s">
        <v>13</v>
      </c>
      <c r="F55" t="s">
        <v>14</v>
      </c>
      <c r="G55">
        <v>1640</v>
      </c>
      <c r="H55" s="3">
        <v>77.92</v>
      </c>
      <c r="I55" s="3">
        <v>76.41</v>
      </c>
      <c r="J55">
        <v>262</v>
      </c>
      <c r="K55" t="s">
        <v>27</v>
      </c>
      <c r="L55">
        <f t="shared" si="0"/>
        <v>6</v>
      </c>
      <c r="M55" s="3">
        <f>Table1[[#This Row],[Quantity]]*Table1[[#This Row],[Negotiated_Price]]</f>
        <v>125312.4</v>
      </c>
      <c r="N55" s="3">
        <f>Table1[[#This Row],[Quantity]]*Table1[[#This Row],[Unit_Price]]</f>
        <v>127788.8</v>
      </c>
      <c r="O55" s="3">
        <f>Table1[[#This Row],[ Original_Spend ]]-Table1[[#This Row],[ Total_Spend ]]</f>
        <v>2476.4000000000087</v>
      </c>
      <c r="P55" s="2">
        <f t="shared" si="1"/>
        <v>1.9378850102669473E-2</v>
      </c>
      <c r="Q55" s="2">
        <f t="shared" si="2"/>
        <v>0.15975609756097561</v>
      </c>
      <c r="R55" t="str">
        <f t="shared" si="3"/>
        <v>Cancelled</v>
      </c>
      <c r="S55" t="str">
        <f t="shared" si="4"/>
        <v>Status-Date Conflict</v>
      </c>
    </row>
    <row r="56" spans="1:19" x14ac:dyDescent="0.25">
      <c r="A56" t="s">
        <v>81</v>
      </c>
      <c r="B56" t="s">
        <v>23</v>
      </c>
      <c r="C56" s="1">
        <v>45127</v>
      </c>
      <c r="D56" s="1">
        <v>45145</v>
      </c>
      <c r="E56" t="s">
        <v>39</v>
      </c>
      <c r="F56" t="s">
        <v>18</v>
      </c>
      <c r="G56">
        <v>1317</v>
      </c>
      <c r="H56" s="3">
        <v>68.13</v>
      </c>
      <c r="I56" s="3">
        <v>60.52</v>
      </c>
      <c r="J56">
        <v>136</v>
      </c>
      <c r="K56" t="s">
        <v>15</v>
      </c>
      <c r="L56">
        <f t="shared" si="0"/>
        <v>18</v>
      </c>
      <c r="M56" s="3">
        <f>Table1[[#This Row],[Quantity]]*Table1[[#This Row],[Negotiated_Price]]</f>
        <v>79704.840000000011</v>
      </c>
      <c r="N56" s="3">
        <f>Table1[[#This Row],[Quantity]]*Table1[[#This Row],[Unit_Price]]</f>
        <v>89727.209999999992</v>
      </c>
      <c r="O56" s="3">
        <f>Table1[[#This Row],[ Original_Spend ]]-Table1[[#This Row],[ Total_Spend ]]</f>
        <v>10022.369999999981</v>
      </c>
      <c r="P56" s="2">
        <f t="shared" si="1"/>
        <v>0.11169822398356063</v>
      </c>
      <c r="Q56" s="2">
        <f t="shared" si="2"/>
        <v>0.10326499620349279</v>
      </c>
      <c r="R56" t="str">
        <f t="shared" si="3"/>
        <v>Late</v>
      </c>
      <c r="S56" t="str">
        <f t="shared" si="4"/>
        <v>OK</v>
      </c>
    </row>
    <row r="57" spans="1:19" x14ac:dyDescent="0.25">
      <c r="A57" t="s">
        <v>82</v>
      </c>
      <c r="B57" t="s">
        <v>29</v>
      </c>
      <c r="C57" s="1">
        <v>44862</v>
      </c>
      <c r="D57" s="1">
        <v>44864</v>
      </c>
      <c r="E57" t="s">
        <v>26</v>
      </c>
      <c r="F57" t="s">
        <v>18</v>
      </c>
      <c r="G57">
        <v>881</v>
      </c>
      <c r="H57" s="3">
        <v>100.94</v>
      </c>
      <c r="I57" s="3">
        <v>95.05</v>
      </c>
      <c r="J57">
        <v>30</v>
      </c>
      <c r="K57" t="s">
        <v>15</v>
      </c>
      <c r="L57">
        <f t="shared" si="0"/>
        <v>2</v>
      </c>
      <c r="M57" s="3">
        <f>Table1[[#This Row],[Quantity]]*Table1[[#This Row],[Negotiated_Price]]</f>
        <v>83739.05</v>
      </c>
      <c r="N57" s="3">
        <f>Table1[[#This Row],[Quantity]]*Table1[[#This Row],[Unit_Price]]</f>
        <v>88928.14</v>
      </c>
      <c r="O57" s="3">
        <f>Table1[[#This Row],[ Original_Spend ]]-Table1[[#This Row],[ Total_Spend ]]</f>
        <v>5189.0899999999965</v>
      </c>
      <c r="P57" s="2">
        <f t="shared" si="1"/>
        <v>5.8351495938181057E-2</v>
      </c>
      <c r="Q57" s="2">
        <f t="shared" si="2"/>
        <v>3.4052213393870601E-2</v>
      </c>
      <c r="R57" t="str">
        <f t="shared" si="3"/>
        <v>On Time</v>
      </c>
      <c r="S57" t="str">
        <f t="shared" si="4"/>
        <v>OK</v>
      </c>
    </row>
    <row r="58" spans="1:19" x14ac:dyDescent="0.25">
      <c r="A58" t="s">
        <v>83</v>
      </c>
      <c r="B58" t="s">
        <v>17</v>
      </c>
      <c r="C58" s="1">
        <v>45205</v>
      </c>
      <c r="E58" t="s">
        <v>24</v>
      </c>
      <c r="F58" t="s">
        <v>18</v>
      </c>
      <c r="G58">
        <v>1578</v>
      </c>
      <c r="H58" s="3">
        <v>48.33</v>
      </c>
      <c r="I58" s="3">
        <v>42.77</v>
      </c>
      <c r="J58">
        <v>206</v>
      </c>
      <c r="K58" t="s">
        <v>15</v>
      </c>
      <c r="L58" t="str">
        <f t="shared" si="0"/>
        <v/>
      </c>
      <c r="M58" s="3">
        <f>Table1[[#This Row],[Quantity]]*Table1[[#This Row],[Negotiated_Price]]</f>
        <v>67491.06</v>
      </c>
      <c r="N58" s="3">
        <f>Table1[[#This Row],[Quantity]]*Table1[[#This Row],[Unit_Price]]</f>
        <v>76264.739999999991</v>
      </c>
      <c r="O58" s="3">
        <f>Table1[[#This Row],[ Original_Spend ]]-Table1[[#This Row],[ Total_Spend ]]</f>
        <v>8773.679999999993</v>
      </c>
      <c r="P58" s="2">
        <f t="shared" si="1"/>
        <v>0.1150424167183943</v>
      </c>
      <c r="Q58" s="2">
        <f t="shared" si="2"/>
        <v>0.13054499366286437</v>
      </c>
      <c r="R58" t="str">
        <f t="shared" si="3"/>
        <v>Missing Delivery Date</v>
      </c>
      <c r="S58" t="str">
        <f t="shared" si="4"/>
        <v>Missing Delivery Date</v>
      </c>
    </row>
    <row r="59" spans="1:19" x14ac:dyDescent="0.25">
      <c r="A59" t="s">
        <v>84</v>
      </c>
      <c r="B59" t="s">
        <v>17</v>
      </c>
      <c r="C59" s="1">
        <v>45195</v>
      </c>
      <c r="D59" s="1">
        <v>45200</v>
      </c>
      <c r="E59" t="s">
        <v>21</v>
      </c>
      <c r="F59" t="s">
        <v>18</v>
      </c>
      <c r="G59">
        <v>1204</v>
      </c>
      <c r="H59" s="3">
        <v>39.29</v>
      </c>
      <c r="I59" s="3">
        <v>35.44</v>
      </c>
      <c r="K59" t="s">
        <v>15</v>
      </c>
      <c r="L59">
        <f t="shared" si="0"/>
        <v>5</v>
      </c>
      <c r="M59" s="3">
        <f>Table1[[#This Row],[Quantity]]*Table1[[#This Row],[Negotiated_Price]]</f>
        <v>42669.759999999995</v>
      </c>
      <c r="N59" s="3">
        <f>Table1[[#This Row],[Quantity]]*Table1[[#This Row],[Unit_Price]]</f>
        <v>47305.159999999996</v>
      </c>
      <c r="O59" s="3">
        <f>Table1[[#This Row],[ Original_Spend ]]-Table1[[#This Row],[ Total_Spend ]]</f>
        <v>4635.4000000000015</v>
      </c>
      <c r="P59" s="2">
        <f t="shared" si="1"/>
        <v>9.7989310257062909E-2</v>
      </c>
      <c r="Q59" s="2">
        <f t="shared" si="2"/>
        <v>0</v>
      </c>
      <c r="R59" t="str">
        <f t="shared" si="3"/>
        <v>On Time</v>
      </c>
      <c r="S59" t="str">
        <f t="shared" si="4"/>
        <v>OK</v>
      </c>
    </row>
    <row r="60" spans="1:19" x14ac:dyDescent="0.25">
      <c r="A60" t="s">
        <v>85</v>
      </c>
      <c r="B60" t="s">
        <v>29</v>
      </c>
      <c r="C60" s="1">
        <v>44932</v>
      </c>
      <c r="D60" s="1">
        <v>44948</v>
      </c>
      <c r="E60" t="s">
        <v>21</v>
      </c>
      <c r="F60" t="s">
        <v>35</v>
      </c>
      <c r="G60">
        <v>1558</v>
      </c>
      <c r="H60" s="3">
        <v>93.46</v>
      </c>
      <c r="I60" s="3">
        <v>91.27</v>
      </c>
      <c r="J60">
        <v>39</v>
      </c>
      <c r="K60" t="s">
        <v>15</v>
      </c>
      <c r="L60">
        <f t="shared" si="0"/>
        <v>16</v>
      </c>
      <c r="M60" s="3">
        <f>Table1[[#This Row],[Quantity]]*Table1[[#This Row],[Negotiated_Price]]</f>
        <v>142198.66</v>
      </c>
      <c r="N60" s="3">
        <f>Table1[[#This Row],[Quantity]]*Table1[[#This Row],[Unit_Price]]</f>
        <v>145610.68</v>
      </c>
      <c r="O60" s="3">
        <f>Table1[[#This Row],[ Original_Spend ]]-Table1[[#This Row],[ Total_Spend ]]</f>
        <v>3412.0199999999895</v>
      </c>
      <c r="P60" s="2">
        <f t="shared" si="1"/>
        <v>2.3432484485341253E-2</v>
      </c>
      <c r="Q60" s="2">
        <f t="shared" si="2"/>
        <v>2.5032092426187421E-2</v>
      </c>
      <c r="R60" t="str">
        <f t="shared" si="3"/>
        <v>Pending</v>
      </c>
      <c r="S60" t="str">
        <f t="shared" si="4"/>
        <v>Status-Date Conflict</v>
      </c>
    </row>
    <row r="61" spans="1:19" x14ac:dyDescent="0.25">
      <c r="A61" t="s">
        <v>86</v>
      </c>
      <c r="B61" t="s">
        <v>12</v>
      </c>
      <c r="C61" s="1">
        <v>45153</v>
      </c>
      <c r="D61" s="1">
        <v>45154</v>
      </c>
      <c r="E61" t="s">
        <v>24</v>
      </c>
      <c r="F61" t="s">
        <v>18</v>
      </c>
      <c r="G61">
        <v>1892</v>
      </c>
      <c r="H61" s="3">
        <v>32.99</v>
      </c>
      <c r="I61" s="3">
        <v>28.81</v>
      </c>
      <c r="J61">
        <v>35</v>
      </c>
      <c r="K61" t="s">
        <v>15</v>
      </c>
      <c r="L61">
        <f t="shared" si="0"/>
        <v>1</v>
      </c>
      <c r="M61" s="3">
        <f>Table1[[#This Row],[Quantity]]*Table1[[#This Row],[Negotiated_Price]]</f>
        <v>54508.52</v>
      </c>
      <c r="N61" s="3">
        <f>Table1[[#This Row],[Quantity]]*Table1[[#This Row],[Unit_Price]]</f>
        <v>62417.08</v>
      </c>
      <c r="O61" s="3">
        <f>Table1[[#This Row],[ Original_Spend ]]-Table1[[#This Row],[ Total_Spend ]]</f>
        <v>7908.5600000000049</v>
      </c>
      <c r="P61" s="2">
        <f t="shared" si="1"/>
        <v>0.12670506214004251</v>
      </c>
      <c r="Q61" s="2">
        <f t="shared" si="2"/>
        <v>1.849894291754757E-2</v>
      </c>
      <c r="R61" t="str">
        <f t="shared" si="3"/>
        <v>On Time</v>
      </c>
      <c r="S61" t="str">
        <f t="shared" si="4"/>
        <v>OK</v>
      </c>
    </row>
    <row r="62" spans="1:19" x14ac:dyDescent="0.25">
      <c r="A62" t="s">
        <v>87</v>
      </c>
      <c r="B62" t="s">
        <v>29</v>
      </c>
      <c r="C62" s="1">
        <v>44758</v>
      </c>
      <c r="D62" s="1">
        <v>44774</v>
      </c>
      <c r="E62" t="s">
        <v>24</v>
      </c>
      <c r="F62" t="s">
        <v>18</v>
      </c>
      <c r="G62">
        <v>696</v>
      </c>
      <c r="H62" s="3">
        <v>99.59</v>
      </c>
      <c r="I62" s="3">
        <v>90.18</v>
      </c>
      <c r="J62">
        <v>25</v>
      </c>
      <c r="K62" t="s">
        <v>15</v>
      </c>
      <c r="L62">
        <f t="shared" si="0"/>
        <v>16</v>
      </c>
      <c r="M62" s="3">
        <f>Table1[[#This Row],[Quantity]]*Table1[[#This Row],[Negotiated_Price]]</f>
        <v>62765.280000000006</v>
      </c>
      <c r="N62" s="3">
        <f>Table1[[#This Row],[Quantity]]*Table1[[#This Row],[Unit_Price]]</f>
        <v>69314.64</v>
      </c>
      <c r="O62" s="3">
        <f>Table1[[#This Row],[ Original_Spend ]]-Table1[[#This Row],[ Total_Spend ]]</f>
        <v>6549.3599999999933</v>
      </c>
      <c r="P62" s="2">
        <f t="shared" si="1"/>
        <v>9.4487398333165884E-2</v>
      </c>
      <c r="Q62" s="2">
        <f t="shared" si="2"/>
        <v>3.5919540229885055E-2</v>
      </c>
      <c r="R62" t="str">
        <f t="shared" si="3"/>
        <v>Late</v>
      </c>
      <c r="S62" t="str">
        <f t="shared" si="4"/>
        <v>OK</v>
      </c>
    </row>
    <row r="63" spans="1:19" x14ac:dyDescent="0.25">
      <c r="A63" t="s">
        <v>88</v>
      </c>
      <c r="B63" t="s">
        <v>17</v>
      </c>
      <c r="C63" s="1">
        <v>45283</v>
      </c>
      <c r="D63" s="1">
        <v>45294</v>
      </c>
      <c r="E63" t="s">
        <v>21</v>
      </c>
      <c r="F63" t="s">
        <v>33</v>
      </c>
      <c r="G63">
        <v>70</v>
      </c>
      <c r="H63" s="3">
        <v>12.37</v>
      </c>
      <c r="I63" s="3">
        <v>11.04</v>
      </c>
      <c r="J63">
        <v>10</v>
      </c>
      <c r="K63" t="s">
        <v>15</v>
      </c>
      <c r="L63">
        <f t="shared" si="0"/>
        <v>11</v>
      </c>
      <c r="M63" s="3">
        <f>Table1[[#This Row],[Quantity]]*Table1[[#This Row],[Negotiated_Price]]</f>
        <v>772.8</v>
      </c>
      <c r="N63" s="3">
        <f>Table1[[#This Row],[Quantity]]*Table1[[#This Row],[Unit_Price]]</f>
        <v>865.9</v>
      </c>
      <c r="O63" s="3">
        <f>Table1[[#This Row],[ Original_Spend ]]-Table1[[#This Row],[ Total_Spend ]]</f>
        <v>93.100000000000023</v>
      </c>
      <c r="P63" s="2">
        <f t="shared" si="1"/>
        <v>0.10751818916734036</v>
      </c>
      <c r="Q63" s="2">
        <f t="shared" si="2"/>
        <v>0.14285714285714285</v>
      </c>
      <c r="R63" t="str">
        <f t="shared" si="3"/>
        <v>Partially Delivered</v>
      </c>
      <c r="S63" t="str">
        <f t="shared" si="4"/>
        <v>Status-Date Conflict</v>
      </c>
    </row>
    <row r="64" spans="1:19" x14ac:dyDescent="0.25">
      <c r="A64" t="s">
        <v>89</v>
      </c>
      <c r="B64" t="s">
        <v>20</v>
      </c>
      <c r="C64" s="1">
        <v>44633</v>
      </c>
      <c r="D64" s="1">
        <v>44635</v>
      </c>
      <c r="E64" t="s">
        <v>26</v>
      </c>
      <c r="F64" t="s">
        <v>18</v>
      </c>
      <c r="G64">
        <v>890</v>
      </c>
      <c r="H64" s="3">
        <v>98.26</v>
      </c>
      <c r="I64" s="3">
        <v>93.14</v>
      </c>
      <c r="J64">
        <v>49</v>
      </c>
      <c r="K64" t="s">
        <v>15</v>
      </c>
      <c r="L64">
        <f t="shared" si="0"/>
        <v>2</v>
      </c>
      <c r="M64" s="3">
        <f>Table1[[#This Row],[Quantity]]*Table1[[#This Row],[Negotiated_Price]]</f>
        <v>82894.600000000006</v>
      </c>
      <c r="N64" s="3">
        <f>Table1[[#This Row],[Quantity]]*Table1[[#This Row],[Unit_Price]]</f>
        <v>87451.400000000009</v>
      </c>
      <c r="O64" s="3">
        <f>Table1[[#This Row],[ Original_Spend ]]-Table1[[#This Row],[ Total_Spend ]]</f>
        <v>4556.8000000000029</v>
      </c>
      <c r="P64" s="2">
        <f t="shared" si="1"/>
        <v>5.21066558111134E-2</v>
      </c>
      <c r="Q64" s="2">
        <f t="shared" si="2"/>
        <v>5.5056179775280899E-2</v>
      </c>
      <c r="R64" t="str">
        <f t="shared" si="3"/>
        <v>On Time</v>
      </c>
      <c r="S64" t="str">
        <f t="shared" si="4"/>
        <v>OK</v>
      </c>
    </row>
    <row r="65" spans="1:19" x14ac:dyDescent="0.25">
      <c r="A65" t="s">
        <v>90</v>
      </c>
      <c r="B65" t="s">
        <v>12</v>
      </c>
      <c r="C65" s="1">
        <v>44608</v>
      </c>
      <c r="D65" s="1">
        <v>44624</v>
      </c>
      <c r="E65" t="s">
        <v>21</v>
      </c>
      <c r="F65" t="s">
        <v>18</v>
      </c>
      <c r="G65">
        <v>216</v>
      </c>
      <c r="H65" s="3">
        <v>13.95</v>
      </c>
      <c r="I65" s="3">
        <v>12.31</v>
      </c>
      <c r="J65">
        <v>5</v>
      </c>
      <c r="K65" t="s">
        <v>15</v>
      </c>
      <c r="L65">
        <f t="shared" si="0"/>
        <v>16</v>
      </c>
      <c r="M65" s="3">
        <f>Table1[[#This Row],[Quantity]]*Table1[[#This Row],[Negotiated_Price]]</f>
        <v>2658.96</v>
      </c>
      <c r="N65" s="3">
        <f>Table1[[#This Row],[Quantity]]*Table1[[#This Row],[Unit_Price]]</f>
        <v>3013.2</v>
      </c>
      <c r="O65" s="3">
        <f>Table1[[#This Row],[ Original_Spend ]]-Table1[[#This Row],[ Total_Spend ]]</f>
        <v>354.23999999999978</v>
      </c>
      <c r="P65" s="2">
        <f t="shared" si="1"/>
        <v>0.11756272401433686</v>
      </c>
      <c r="Q65" s="2">
        <f t="shared" si="2"/>
        <v>2.3148148148148147E-2</v>
      </c>
      <c r="R65" t="str">
        <f t="shared" si="3"/>
        <v>Late</v>
      </c>
      <c r="S65" t="str">
        <f t="shared" si="4"/>
        <v>OK</v>
      </c>
    </row>
    <row r="66" spans="1:19" x14ac:dyDescent="0.25">
      <c r="A66" t="s">
        <v>91</v>
      </c>
      <c r="B66" t="s">
        <v>17</v>
      </c>
      <c r="C66" s="1">
        <v>45239</v>
      </c>
      <c r="D66" s="1">
        <v>45242</v>
      </c>
      <c r="E66" t="s">
        <v>24</v>
      </c>
      <c r="F66" t="s">
        <v>18</v>
      </c>
      <c r="G66">
        <v>1347</v>
      </c>
      <c r="H66" s="3">
        <v>100.13</v>
      </c>
      <c r="I66" s="3">
        <v>94.3</v>
      </c>
      <c r="J66">
        <v>200</v>
      </c>
      <c r="K66" t="s">
        <v>15</v>
      </c>
      <c r="L66">
        <f t="shared" ref="L66:L129" si="5">IF(OR(C66="",D66=""),"",D66-C66)</f>
        <v>3</v>
      </c>
      <c r="M66" s="3">
        <f>Table1[[#This Row],[Quantity]]*Table1[[#This Row],[Negotiated_Price]]</f>
        <v>127022.09999999999</v>
      </c>
      <c r="N66" s="3">
        <f>Table1[[#This Row],[Quantity]]*Table1[[#This Row],[Unit_Price]]</f>
        <v>134875.10999999999</v>
      </c>
      <c r="O66" s="3">
        <f>Table1[[#This Row],[ Original_Spend ]]-Table1[[#This Row],[ Total_Spend ]]</f>
        <v>7853.0099999999948</v>
      </c>
      <c r="P66" s="2">
        <f t="shared" ref="P66:P129" si="6">IFERROR(O66/N66,0)</f>
        <v>5.8224308399081159E-2</v>
      </c>
      <c r="Q66" s="2">
        <f t="shared" ref="Q66:Q129" si="7">IFERROR(J66/G66,0)</f>
        <v>0.14847809948032664</v>
      </c>
      <c r="R66" t="str">
        <f t="shared" si="3"/>
        <v>On Time</v>
      </c>
      <c r="S66" t="str">
        <f t="shared" si="4"/>
        <v>OK</v>
      </c>
    </row>
    <row r="67" spans="1:19" x14ac:dyDescent="0.25">
      <c r="A67" t="s">
        <v>92</v>
      </c>
      <c r="B67" t="s">
        <v>20</v>
      </c>
      <c r="C67" s="1">
        <v>44795</v>
      </c>
      <c r="D67" s="1">
        <v>44798</v>
      </c>
      <c r="E67" t="s">
        <v>13</v>
      </c>
      <c r="F67" t="s">
        <v>33</v>
      </c>
      <c r="G67">
        <v>437</v>
      </c>
      <c r="H67" s="3">
        <v>59.51</v>
      </c>
      <c r="I67" s="3">
        <v>56.45</v>
      </c>
      <c r="J67">
        <v>25</v>
      </c>
      <c r="K67" t="s">
        <v>27</v>
      </c>
      <c r="L67">
        <f t="shared" si="5"/>
        <v>3</v>
      </c>
      <c r="M67" s="3">
        <f>Table1[[#This Row],[Quantity]]*Table1[[#This Row],[Negotiated_Price]]</f>
        <v>24668.65</v>
      </c>
      <c r="N67" s="3">
        <f>Table1[[#This Row],[Quantity]]*Table1[[#This Row],[Unit_Price]]</f>
        <v>26005.87</v>
      </c>
      <c r="O67" s="3">
        <f>Table1[[#This Row],[ Original_Spend ]]-Table1[[#This Row],[ Total_Spend ]]</f>
        <v>1337.2199999999975</v>
      </c>
      <c r="P67" s="2">
        <f t="shared" si="6"/>
        <v>5.1419929423626186E-2</v>
      </c>
      <c r="Q67" s="2">
        <f t="shared" si="7"/>
        <v>5.7208237986270026E-2</v>
      </c>
      <c r="R67" t="str">
        <f t="shared" ref="R67:R130" si="8">IF(F67&lt;&gt;"Delivered",F67,IF(D67="","Missing Delivery Date",IF(L67&lt;=10,"On Time","Late")))</f>
        <v>Partially Delivered</v>
      </c>
      <c r="S67" t="str">
        <f t="shared" ref="S67:S130" si="9">IF(AND(F67&lt;&gt;"Delivered",D67&lt;&gt;""),"Status-Date Conflict",IF(AND(F67="Delivered",D67=""),"Missing Delivery Date","OK"))</f>
        <v>Status-Date Conflict</v>
      </c>
    </row>
    <row r="68" spans="1:19" x14ac:dyDescent="0.25">
      <c r="A68" t="s">
        <v>93</v>
      </c>
      <c r="B68" t="s">
        <v>12</v>
      </c>
      <c r="C68" s="1">
        <v>44858</v>
      </c>
      <c r="D68" s="1">
        <v>44860</v>
      </c>
      <c r="E68" t="s">
        <v>39</v>
      </c>
      <c r="F68" t="s">
        <v>18</v>
      </c>
      <c r="G68">
        <v>650</v>
      </c>
      <c r="H68" s="3">
        <v>103.84</v>
      </c>
      <c r="I68" s="3">
        <v>88.28</v>
      </c>
      <c r="J68">
        <v>12</v>
      </c>
      <c r="K68" t="s">
        <v>15</v>
      </c>
      <c r="L68">
        <f t="shared" si="5"/>
        <v>2</v>
      </c>
      <c r="M68" s="3">
        <f>Table1[[#This Row],[Quantity]]*Table1[[#This Row],[Negotiated_Price]]</f>
        <v>57382</v>
      </c>
      <c r="N68" s="3">
        <f>Table1[[#This Row],[Quantity]]*Table1[[#This Row],[Unit_Price]]</f>
        <v>67496</v>
      </c>
      <c r="O68" s="3">
        <f>Table1[[#This Row],[ Original_Spend ]]-Table1[[#This Row],[ Total_Spend ]]</f>
        <v>10114</v>
      </c>
      <c r="P68" s="2">
        <f t="shared" si="6"/>
        <v>0.14984591679506934</v>
      </c>
      <c r="Q68" s="2">
        <f t="shared" si="7"/>
        <v>1.8461538461538463E-2</v>
      </c>
      <c r="R68" t="str">
        <f t="shared" si="8"/>
        <v>On Time</v>
      </c>
      <c r="S68" t="str">
        <f t="shared" si="9"/>
        <v>OK</v>
      </c>
    </row>
    <row r="69" spans="1:19" x14ac:dyDescent="0.25">
      <c r="A69" t="s">
        <v>94</v>
      </c>
      <c r="B69" t="s">
        <v>23</v>
      </c>
      <c r="C69" s="1">
        <v>44643</v>
      </c>
      <c r="D69" s="1">
        <v>44662</v>
      </c>
      <c r="E69" t="s">
        <v>13</v>
      </c>
      <c r="F69" t="s">
        <v>18</v>
      </c>
      <c r="G69">
        <v>365</v>
      </c>
      <c r="H69" s="3">
        <v>16.809999999999999</v>
      </c>
      <c r="I69" s="3">
        <v>15.41</v>
      </c>
      <c r="J69">
        <v>38</v>
      </c>
      <c r="K69" t="s">
        <v>15</v>
      </c>
      <c r="L69">
        <f t="shared" si="5"/>
        <v>19</v>
      </c>
      <c r="M69" s="3">
        <f>Table1[[#This Row],[Quantity]]*Table1[[#This Row],[Negotiated_Price]]</f>
        <v>5624.65</v>
      </c>
      <c r="N69" s="3">
        <f>Table1[[#This Row],[Quantity]]*Table1[[#This Row],[Unit_Price]]</f>
        <v>6135.65</v>
      </c>
      <c r="O69" s="3">
        <f>Table1[[#This Row],[ Original_Spend ]]-Table1[[#This Row],[ Total_Spend ]]</f>
        <v>511</v>
      </c>
      <c r="P69" s="2">
        <f t="shared" si="6"/>
        <v>8.3283759666864965E-2</v>
      </c>
      <c r="Q69" s="2">
        <f t="shared" si="7"/>
        <v>0.10410958904109589</v>
      </c>
      <c r="R69" t="str">
        <f t="shared" si="8"/>
        <v>Late</v>
      </c>
      <c r="S69" t="str">
        <f t="shared" si="9"/>
        <v>OK</v>
      </c>
    </row>
    <row r="70" spans="1:19" x14ac:dyDescent="0.25">
      <c r="A70" t="s">
        <v>95</v>
      </c>
      <c r="B70" t="s">
        <v>29</v>
      </c>
      <c r="C70" s="1">
        <v>44800</v>
      </c>
      <c r="E70" t="s">
        <v>26</v>
      </c>
      <c r="F70" t="s">
        <v>14</v>
      </c>
      <c r="G70">
        <v>63</v>
      </c>
      <c r="H70" s="3">
        <v>61.94</v>
      </c>
      <c r="I70" s="3">
        <v>53.8</v>
      </c>
      <c r="K70" t="s">
        <v>15</v>
      </c>
      <c r="L70" t="str">
        <f t="shared" si="5"/>
        <v/>
      </c>
      <c r="M70" s="3">
        <f>Table1[[#This Row],[Quantity]]*Table1[[#This Row],[Negotiated_Price]]</f>
        <v>3389.3999999999996</v>
      </c>
      <c r="N70" s="3">
        <f>Table1[[#This Row],[Quantity]]*Table1[[#This Row],[Unit_Price]]</f>
        <v>3902.22</v>
      </c>
      <c r="O70" s="3">
        <f>Table1[[#This Row],[ Original_Spend ]]-Table1[[#This Row],[ Total_Spend ]]</f>
        <v>512.82000000000016</v>
      </c>
      <c r="P70" s="2">
        <f t="shared" si="6"/>
        <v>0.13141750080723286</v>
      </c>
      <c r="Q70" s="2">
        <f t="shared" si="7"/>
        <v>0</v>
      </c>
      <c r="R70" t="str">
        <f t="shared" si="8"/>
        <v>Cancelled</v>
      </c>
      <c r="S70" t="str">
        <f t="shared" si="9"/>
        <v>OK</v>
      </c>
    </row>
    <row r="71" spans="1:19" x14ac:dyDescent="0.25">
      <c r="A71" t="s">
        <v>96</v>
      </c>
      <c r="B71" t="s">
        <v>12</v>
      </c>
      <c r="C71" s="1">
        <v>44665</v>
      </c>
      <c r="D71" s="1">
        <v>44673</v>
      </c>
      <c r="E71" t="s">
        <v>21</v>
      </c>
      <c r="F71" t="s">
        <v>18</v>
      </c>
      <c r="G71">
        <v>291</v>
      </c>
      <c r="H71" s="3">
        <v>98.7</v>
      </c>
      <c r="I71" s="3">
        <v>87.02</v>
      </c>
      <c r="J71">
        <v>9</v>
      </c>
      <c r="K71" t="s">
        <v>15</v>
      </c>
      <c r="L71">
        <f t="shared" si="5"/>
        <v>8</v>
      </c>
      <c r="M71" s="3">
        <f>Table1[[#This Row],[Quantity]]*Table1[[#This Row],[Negotiated_Price]]</f>
        <v>25322.82</v>
      </c>
      <c r="N71" s="3">
        <f>Table1[[#This Row],[Quantity]]*Table1[[#This Row],[Unit_Price]]</f>
        <v>28721.7</v>
      </c>
      <c r="O71" s="3">
        <f>Table1[[#This Row],[ Original_Spend ]]-Table1[[#This Row],[ Total_Spend ]]</f>
        <v>3398.880000000001</v>
      </c>
      <c r="P71" s="2">
        <f t="shared" si="6"/>
        <v>0.11833839918946305</v>
      </c>
      <c r="Q71" s="2">
        <f t="shared" si="7"/>
        <v>3.0927835051546393E-2</v>
      </c>
      <c r="R71" t="str">
        <f t="shared" si="8"/>
        <v>On Time</v>
      </c>
      <c r="S71" t="str">
        <f t="shared" si="9"/>
        <v>OK</v>
      </c>
    </row>
    <row r="72" spans="1:19" x14ac:dyDescent="0.25">
      <c r="A72" t="s">
        <v>97</v>
      </c>
      <c r="B72" t="s">
        <v>12</v>
      </c>
      <c r="C72" s="1">
        <v>44951</v>
      </c>
      <c r="D72" s="1">
        <v>44965</v>
      </c>
      <c r="E72" t="s">
        <v>21</v>
      </c>
      <c r="F72" t="s">
        <v>14</v>
      </c>
      <c r="G72">
        <v>826</v>
      </c>
      <c r="H72" s="3">
        <v>60.5</v>
      </c>
      <c r="I72" s="3">
        <v>57.18</v>
      </c>
      <c r="J72">
        <v>18</v>
      </c>
      <c r="K72" t="s">
        <v>15</v>
      </c>
      <c r="L72">
        <f t="shared" si="5"/>
        <v>14</v>
      </c>
      <c r="M72" s="3">
        <f>Table1[[#This Row],[Quantity]]*Table1[[#This Row],[Negotiated_Price]]</f>
        <v>47230.68</v>
      </c>
      <c r="N72" s="3">
        <f>Table1[[#This Row],[Quantity]]*Table1[[#This Row],[Unit_Price]]</f>
        <v>49973</v>
      </c>
      <c r="O72" s="3">
        <f>Table1[[#This Row],[ Original_Spend ]]-Table1[[#This Row],[ Total_Spend ]]</f>
        <v>2742.3199999999997</v>
      </c>
      <c r="P72" s="2">
        <f t="shared" si="6"/>
        <v>5.4876033057851235E-2</v>
      </c>
      <c r="Q72" s="2">
        <f t="shared" si="7"/>
        <v>2.1791767554479417E-2</v>
      </c>
      <c r="R72" t="str">
        <f t="shared" si="8"/>
        <v>Cancelled</v>
      </c>
      <c r="S72" t="str">
        <f t="shared" si="9"/>
        <v>Status-Date Conflict</v>
      </c>
    </row>
    <row r="73" spans="1:19" x14ac:dyDescent="0.25">
      <c r="A73" t="s">
        <v>98</v>
      </c>
      <c r="B73" t="s">
        <v>17</v>
      </c>
      <c r="C73" s="1">
        <v>44846</v>
      </c>
      <c r="D73" s="1">
        <v>44866</v>
      </c>
      <c r="E73" t="s">
        <v>39</v>
      </c>
      <c r="F73" t="s">
        <v>35</v>
      </c>
      <c r="G73">
        <v>1419</v>
      </c>
      <c r="H73" s="3">
        <v>69.64</v>
      </c>
      <c r="I73" s="3">
        <v>59.28</v>
      </c>
      <c r="J73">
        <v>194</v>
      </c>
      <c r="K73" t="s">
        <v>15</v>
      </c>
      <c r="L73">
        <f t="shared" si="5"/>
        <v>20</v>
      </c>
      <c r="M73" s="3">
        <f>Table1[[#This Row],[Quantity]]*Table1[[#This Row],[Negotiated_Price]]</f>
        <v>84118.32</v>
      </c>
      <c r="N73" s="3">
        <f>Table1[[#This Row],[Quantity]]*Table1[[#This Row],[Unit_Price]]</f>
        <v>98819.16</v>
      </c>
      <c r="O73" s="3">
        <f>Table1[[#This Row],[ Original_Spend ]]-Table1[[#This Row],[ Total_Spend ]]</f>
        <v>14700.839999999997</v>
      </c>
      <c r="P73" s="2">
        <f t="shared" si="6"/>
        <v>0.1487650775416427</v>
      </c>
      <c r="Q73" s="2">
        <f t="shared" si="7"/>
        <v>0.13671599718111346</v>
      </c>
      <c r="R73" t="str">
        <f t="shared" si="8"/>
        <v>Pending</v>
      </c>
      <c r="S73" t="str">
        <f t="shared" si="9"/>
        <v>Status-Date Conflict</v>
      </c>
    </row>
    <row r="74" spans="1:19" x14ac:dyDescent="0.25">
      <c r="A74" t="s">
        <v>99</v>
      </c>
      <c r="B74" t="s">
        <v>20</v>
      </c>
      <c r="C74" s="1">
        <v>45026</v>
      </c>
      <c r="D74" s="1">
        <v>45043</v>
      </c>
      <c r="E74" t="s">
        <v>13</v>
      </c>
      <c r="F74" t="s">
        <v>18</v>
      </c>
      <c r="G74">
        <v>614</v>
      </c>
      <c r="H74" s="3">
        <v>78.06</v>
      </c>
      <c r="I74" s="3">
        <v>73.95</v>
      </c>
      <c r="J74">
        <v>40</v>
      </c>
      <c r="K74" t="s">
        <v>15</v>
      </c>
      <c r="L74">
        <f t="shared" si="5"/>
        <v>17</v>
      </c>
      <c r="M74" s="3">
        <f>Table1[[#This Row],[Quantity]]*Table1[[#This Row],[Negotiated_Price]]</f>
        <v>45405.3</v>
      </c>
      <c r="N74" s="3">
        <f>Table1[[#This Row],[Quantity]]*Table1[[#This Row],[Unit_Price]]</f>
        <v>47928.840000000004</v>
      </c>
      <c r="O74" s="3">
        <f>Table1[[#This Row],[ Original_Spend ]]-Table1[[#This Row],[ Total_Spend ]]</f>
        <v>2523.5400000000009</v>
      </c>
      <c r="P74" s="2">
        <f t="shared" si="6"/>
        <v>5.2651806302843981E-2</v>
      </c>
      <c r="Q74" s="2">
        <f t="shared" si="7"/>
        <v>6.5146579804560262E-2</v>
      </c>
      <c r="R74" t="str">
        <f t="shared" si="8"/>
        <v>Late</v>
      </c>
      <c r="S74" t="str">
        <f t="shared" si="9"/>
        <v>OK</v>
      </c>
    </row>
    <row r="75" spans="1:19" x14ac:dyDescent="0.25">
      <c r="A75" t="s">
        <v>100</v>
      </c>
      <c r="B75" t="s">
        <v>12</v>
      </c>
      <c r="C75" s="1">
        <v>45212</v>
      </c>
      <c r="D75" s="1">
        <v>45227</v>
      </c>
      <c r="E75" t="s">
        <v>39</v>
      </c>
      <c r="F75" t="s">
        <v>18</v>
      </c>
      <c r="G75">
        <v>947</v>
      </c>
      <c r="H75" s="3">
        <v>56.25</v>
      </c>
      <c r="I75" s="3">
        <v>54.25</v>
      </c>
      <c r="J75">
        <v>19</v>
      </c>
      <c r="K75" t="s">
        <v>15</v>
      </c>
      <c r="L75">
        <f t="shared" si="5"/>
        <v>15</v>
      </c>
      <c r="M75" s="3">
        <f>Table1[[#This Row],[Quantity]]*Table1[[#This Row],[Negotiated_Price]]</f>
        <v>51374.75</v>
      </c>
      <c r="N75" s="3">
        <f>Table1[[#This Row],[Quantity]]*Table1[[#This Row],[Unit_Price]]</f>
        <v>53268.75</v>
      </c>
      <c r="O75" s="3">
        <f>Table1[[#This Row],[ Original_Spend ]]-Table1[[#This Row],[ Total_Spend ]]</f>
        <v>1894</v>
      </c>
      <c r="P75" s="2">
        <f t="shared" si="6"/>
        <v>3.5555555555555556E-2</v>
      </c>
      <c r="Q75" s="2">
        <f t="shared" si="7"/>
        <v>2.0063357972544878E-2</v>
      </c>
      <c r="R75" t="str">
        <f t="shared" si="8"/>
        <v>Late</v>
      </c>
      <c r="S75" t="str">
        <f t="shared" si="9"/>
        <v>OK</v>
      </c>
    </row>
    <row r="76" spans="1:19" x14ac:dyDescent="0.25">
      <c r="A76" t="s">
        <v>101</v>
      </c>
      <c r="B76" t="s">
        <v>29</v>
      </c>
      <c r="C76" s="1">
        <v>44935</v>
      </c>
      <c r="D76" s="1">
        <v>44954</v>
      </c>
      <c r="E76" t="s">
        <v>26</v>
      </c>
      <c r="F76" t="s">
        <v>18</v>
      </c>
      <c r="G76">
        <v>1413</v>
      </c>
      <c r="H76" s="3">
        <v>70.47</v>
      </c>
      <c r="I76" s="3">
        <v>69.650000000000006</v>
      </c>
      <c r="K76" t="s">
        <v>15</v>
      </c>
      <c r="L76">
        <f t="shared" si="5"/>
        <v>19</v>
      </c>
      <c r="M76" s="3">
        <f>Table1[[#This Row],[Quantity]]*Table1[[#This Row],[Negotiated_Price]]</f>
        <v>98415.450000000012</v>
      </c>
      <c r="N76" s="3">
        <f>Table1[[#This Row],[Quantity]]*Table1[[#This Row],[Unit_Price]]</f>
        <v>99574.11</v>
      </c>
      <c r="O76" s="3">
        <f>Table1[[#This Row],[ Original_Spend ]]-Table1[[#This Row],[ Total_Spend ]]</f>
        <v>1158.6599999999889</v>
      </c>
      <c r="P76" s="2">
        <f t="shared" si="6"/>
        <v>1.1636157230026851E-2</v>
      </c>
      <c r="Q76" s="2">
        <f t="shared" si="7"/>
        <v>0</v>
      </c>
      <c r="R76" t="str">
        <f t="shared" si="8"/>
        <v>Late</v>
      </c>
      <c r="S76" t="str">
        <f t="shared" si="9"/>
        <v>OK</v>
      </c>
    </row>
    <row r="77" spans="1:19" x14ac:dyDescent="0.25">
      <c r="A77" t="s">
        <v>102</v>
      </c>
      <c r="B77" t="s">
        <v>12</v>
      </c>
      <c r="C77" s="1">
        <v>44728</v>
      </c>
      <c r="E77" t="s">
        <v>13</v>
      </c>
      <c r="F77" t="s">
        <v>33</v>
      </c>
      <c r="G77">
        <v>141</v>
      </c>
      <c r="H77" s="3">
        <v>64.150000000000006</v>
      </c>
      <c r="I77" s="3">
        <v>58.32</v>
      </c>
      <c r="K77" t="s">
        <v>15</v>
      </c>
      <c r="L77" t="str">
        <f t="shared" si="5"/>
        <v/>
      </c>
      <c r="M77" s="3">
        <f>Table1[[#This Row],[Quantity]]*Table1[[#This Row],[Negotiated_Price]]</f>
        <v>8223.1200000000008</v>
      </c>
      <c r="N77" s="3">
        <f>Table1[[#This Row],[Quantity]]*Table1[[#This Row],[Unit_Price]]</f>
        <v>9045.1500000000015</v>
      </c>
      <c r="O77" s="3">
        <f>Table1[[#This Row],[ Original_Spend ]]-Table1[[#This Row],[ Total_Spend ]]</f>
        <v>822.03000000000065</v>
      </c>
      <c r="P77" s="2">
        <f t="shared" si="6"/>
        <v>9.0880748246297799E-2</v>
      </c>
      <c r="Q77" s="2">
        <f t="shared" si="7"/>
        <v>0</v>
      </c>
      <c r="R77" t="str">
        <f t="shared" si="8"/>
        <v>Partially Delivered</v>
      </c>
      <c r="S77" t="str">
        <f t="shared" si="9"/>
        <v>OK</v>
      </c>
    </row>
    <row r="78" spans="1:19" x14ac:dyDescent="0.25">
      <c r="A78" t="s">
        <v>103</v>
      </c>
      <c r="B78" t="s">
        <v>12</v>
      </c>
      <c r="C78" s="1">
        <v>44941</v>
      </c>
      <c r="D78" s="1">
        <v>44961</v>
      </c>
      <c r="E78" t="s">
        <v>13</v>
      </c>
      <c r="F78" t="s">
        <v>18</v>
      </c>
      <c r="G78">
        <v>1440</v>
      </c>
      <c r="H78" s="3">
        <v>96.57</v>
      </c>
      <c r="I78" s="3">
        <v>83.87</v>
      </c>
      <c r="J78">
        <v>36</v>
      </c>
      <c r="K78" t="s">
        <v>15</v>
      </c>
      <c r="L78">
        <f t="shared" si="5"/>
        <v>20</v>
      </c>
      <c r="M78" s="3">
        <f>Table1[[#This Row],[Quantity]]*Table1[[#This Row],[Negotiated_Price]]</f>
        <v>120772.8</v>
      </c>
      <c r="N78" s="3">
        <f>Table1[[#This Row],[Quantity]]*Table1[[#This Row],[Unit_Price]]</f>
        <v>139060.79999999999</v>
      </c>
      <c r="O78" s="3">
        <f>Table1[[#This Row],[ Original_Spend ]]-Table1[[#This Row],[ Total_Spend ]]</f>
        <v>18287.999999999985</v>
      </c>
      <c r="P78" s="2">
        <f t="shared" si="6"/>
        <v>0.1315108211659935</v>
      </c>
      <c r="Q78" s="2">
        <f t="shared" si="7"/>
        <v>2.5000000000000001E-2</v>
      </c>
      <c r="R78" t="str">
        <f t="shared" si="8"/>
        <v>Late</v>
      </c>
      <c r="S78" t="str">
        <f t="shared" si="9"/>
        <v>OK</v>
      </c>
    </row>
    <row r="79" spans="1:19" x14ac:dyDescent="0.25">
      <c r="A79" t="s">
        <v>104</v>
      </c>
      <c r="B79" t="s">
        <v>17</v>
      </c>
      <c r="C79" s="1">
        <v>44925</v>
      </c>
      <c r="D79" s="1">
        <v>44929</v>
      </c>
      <c r="E79" t="s">
        <v>26</v>
      </c>
      <c r="F79" t="s">
        <v>18</v>
      </c>
      <c r="G79">
        <v>1005</v>
      </c>
      <c r="H79" s="3">
        <v>14.87</v>
      </c>
      <c r="I79" s="3">
        <v>12.79</v>
      </c>
      <c r="K79" t="s">
        <v>27</v>
      </c>
      <c r="L79">
        <f t="shared" si="5"/>
        <v>4</v>
      </c>
      <c r="M79" s="3">
        <f>Table1[[#This Row],[Quantity]]*Table1[[#This Row],[Negotiated_Price]]</f>
        <v>12853.949999999999</v>
      </c>
      <c r="N79" s="3">
        <f>Table1[[#This Row],[Quantity]]*Table1[[#This Row],[Unit_Price]]</f>
        <v>14944.349999999999</v>
      </c>
      <c r="O79" s="3">
        <f>Table1[[#This Row],[ Original_Spend ]]-Table1[[#This Row],[ Total_Spend ]]</f>
        <v>2090.3999999999996</v>
      </c>
      <c r="P79" s="2">
        <f t="shared" si="6"/>
        <v>0.13987895090786817</v>
      </c>
      <c r="Q79" s="2">
        <f t="shared" si="7"/>
        <v>0</v>
      </c>
      <c r="R79" t="str">
        <f t="shared" si="8"/>
        <v>On Time</v>
      </c>
      <c r="S79" t="str">
        <f t="shared" si="9"/>
        <v>OK</v>
      </c>
    </row>
    <row r="80" spans="1:19" x14ac:dyDescent="0.25">
      <c r="A80" t="s">
        <v>105</v>
      </c>
      <c r="B80" t="s">
        <v>12</v>
      </c>
      <c r="C80" s="1">
        <v>44776</v>
      </c>
      <c r="E80" t="s">
        <v>21</v>
      </c>
      <c r="F80" t="s">
        <v>18</v>
      </c>
      <c r="G80">
        <v>1528</v>
      </c>
      <c r="H80" s="3">
        <v>36.520000000000003</v>
      </c>
      <c r="I80" s="3">
        <v>33</v>
      </c>
      <c r="J80">
        <v>31</v>
      </c>
      <c r="K80" t="s">
        <v>27</v>
      </c>
      <c r="L80" t="str">
        <f t="shared" si="5"/>
        <v/>
      </c>
      <c r="M80" s="3">
        <f>Table1[[#This Row],[Quantity]]*Table1[[#This Row],[Negotiated_Price]]</f>
        <v>50424</v>
      </c>
      <c r="N80" s="3">
        <f>Table1[[#This Row],[Quantity]]*Table1[[#This Row],[Unit_Price]]</f>
        <v>55802.560000000005</v>
      </c>
      <c r="O80" s="3">
        <f>Table1[[#This Row],[ Original_Spend ]]-Table1[[#This Row],[ Total_Spend ]]</f>
        <v>5378.5600000000049</v>
      </c>
      <c r="P80" s="2">
        <f t="shared" si="6"/>
        <v>9.6385542168674773E-2</v>
      </c>
      <c r="Q80" s="2">
        <f t="shared" si="7"/>
        <v>2.0287958115183247E-2</v>
      </c>
      <c r="R80" t="str">
        <f t="shared" si="8"/>
        <v>Missing Delivery Date</v>
      </c>
      <c r="S80" t="str">
        <f t="shared" si="9"/>
        <v>Missing Delivery Date</v>
      </c>
    </row>
    <row r="81" spans="1:19" x14ac:dyDescent="0.25">
      <c r="A81" t="s">
        <v>106</v>
      </c>
      <c r="B81" t="s">
        <v>20</v>
      </c>
      <c r="C81" s="1">
        <v>45248</v>
      </c>
      <c r="D81" s="1">
        <v>45255</v>
      </c>
      <c r="E81" t="s">
        <v>21</v>
      </c>
      <c r="F81" t="s">
        <v>18</v>
      </c>
      <c r="G81">
        <v>1501</v>
      </c>
      <c r="H81" s="3">
        <v>106.05</v>
      </c>
      <c r="I81" s="3">
        <v>100.99</v>
      </c>
      <c r="J81">
        <v>77</v>
      </c>
      <c r="K81" t="s">
        <v>27</v>
      </c>
      <c r="L81">
        <f t="shared" si="5"/>
        <v>7</v>
      </c>
      <c r="M81" s="3">
        <f>Table1[[#This Row],[Quantity]]*Table1[[#This Row],[Negotiated_Price]]</f>
        <v>151585.99</v>
      </c>
      <c r="N81" s="3">
        <f>Table1[[#This Row],[Quantity]]*Table1[[#This Row],[Unit_Price]]</f>
        <v>159181.04999999999</v>
      </c>
      <c r="O81" s="3">
        <f>Table1[[#This Row],[ Original_Spend ]]-Table1[[#This Row],[ Total_Spend ]]</f>
        <v>7595.0599999999977</v>
      </c>
      <c r="P81" s="2">
        <f t="shared" si="6"/>
        <v>4.7713342762847701E-2</v>
      </c>
      <c r="Q81" s="2">
        <f t="shared" si="7"/>
        <v>5.1299133910726186E-2</v>
      </c>
      <c r="R81" t="str">
        <f t="shared" si="8"/>
        <v>On Time</v>
      </c>
      <c r="S81" t="str">
        <f t="shared" si="9"/>
        <v>OK</v>
      </c>
    </row>
    <row r="82" spans="1:19" x14ac:dyDescent="0.25">
      <c r="A82" t="s">
        <v>107</v>
      </c>
      <c r="B82" t="s">
        <v>17</v>
      </c>
      <c r="C82" s="1">
        <v>44835</v>
      </c>
      <c r="D82" s="1">
        <v>44838</v>
      </c>
      <c r="E82" t="s">
        <v>24</v>
      </c>
      <c r="F82" t="s">
        <v>18</v>
      </c>
      <c r="G82">
        <v>558</v>
      </c>
      <c r="H82" s="3">
        <v>94.18</v>
      </c>
      <c r="I82" s="3">
        <v>81.400000000000006</v>
      </c>
      <c r="K82" t="s">
        <v>27</v>
      </c>
      <c r="L82">
        <f t="shared" si="5"/>
        <v>3</v>
      </c>
      <c r="M82" s="3">
        <f>Table1[[#This Row],[Quantity]]*Table1[[#This Row],[Negotiated_Price]]</f>
        <v>45421.200000000004</v>
      </c>
      <c r="N82" s="3">
        <f>Table1[[#This Row],[Quantity]]*Table1[[#This Row],[Unit_Price]]</f>
        <v>52552.44</v>
      </c>
      <c r="O82" s="3">
        <f>Table1[[#This Row],[ Original_Spend ]]-Table1[[#This Row],[ Total_Spend ]]</f>
        <v>7131.239999999998</v>
      </c>
      <c r="P82" s="2">
        <f t="shared" si="6"/>
        <v>0.13569760033977485</v>
      </c>
      <c r="Q82" s="2">
        <f t="shared" si="7"/>
        <v>0</v>
      </c>
      <c r="R82" t="str">
        <f t="shared" si="8"/>
        <v>On Time</v>
      </c>
      <c r="S82" t="str">
        <f t="shared" si="9"/>
        <v>OK</v>
      </c>
    </row>
    <row r="83" spans="1:19" x14ac:dyDescent="0.25">
      <c r="A83" t="s">
        <v>108</v>
      </c>
      <c r="B83" t="s">
        <v>23</v>
      </c>
      <c r="C83" s="1">
        <v>45280</v>
      </c>
      <c r="D83" s="1">
        <v>45286</v>
      </c>
      <c r="E83" t="s">
        <v>21</v>
      </c>
      <c r="F83" t="s">
        <v>18</v>
      </c>
      <c r="G83">
        <v>825</v>
      </c>
      <c r="H83" s="3">
        <v>56.88</v>
      </c>
      <c r="I83" s="3">
        <v>50.84</v>
      </c>
      <c r="K83" t="s">
        <v>15</v>
      </c>
      <c r="L83">
        <f t="shared" si="5"/>
        <v>6</v>
      </c>
      <c r="M83" s="3">
        <f>Table1[[#This Row],[Quantity]]*Table1[[#This Row],[Negotiated_Price]]</f>
        <v>41943</v>
      </c>
      <c r="N83" s="3">
        <f>Table1[[#This Row],[Quantity]]*Table1[[#This Row],[Unit_Price]]</f>
        <v>46926</v>
      </c>
      <c r="O83" s="3">
        <f>Table1[[#This Row],[ Original_Spend ]]-Table1[[#This Row],[ Total_Spend ]]</f>
        <v>4983</v>
      </c>
      <c r="P83" s="2">
        <f t="shared" si="6"/>
        <v>0.10618846694796062</v>
      </c>
      <c r="Q83" s="2">
        <f t="shared" si="7"/>
        <v>0</v>
      </c>
      <c r="R83" t="str">
        <f t="shared" si="8"/>
        <v>On Time</v>
      </c>
      <c r="S83" t="str">
        <f t="shared" si="9"/>
        <v>OK</v>
      </c>
    </row>
    <row r="84" spans="1:19" x14ac:dyDescent="0.25">
      <c r="A84" t="s">
        <v>109</v>
      </c>
      <c r="B84" t="s">
        <v>23</v>
      </c>
      <c r="C84" s="1">
        <v>45261</v>
      </c>
      <c r="D84" s="1">
        <v>45267</v>
      </c>
      <c r="E84" t="s">
        <v>39</v>
      </c>
      <c r="F84" t="s">
        <v>14</v>
      </c>
      <c r="G84">
        <v>84</v>
      </c>
      <c r="H84" s="3">
        <v>73.38</v>
      </c>
      <c r="I84" s="3">
        <v>71.42</v>
      </c>
      <c r="J84">
        <v>9</v>
      </c>
      <c r="K84" t="s">
        <v>15</v>
      </c>
      <c r="L84">
        <f t="shared" si="5"/>
        <v>6</v>
      </c>
      <c r="M84" s="3">
        <f>Table1[[#This Row],[Quantity]]*Table1[[#This Row],[Negotiated_Price]]</f>
        <v>5999.28</v>
      </c>
      <c r="N84" s="3">
        <f>Table1[[#This Row],[Quantity]]*Table1[[#This Row],[Unit_Price]]</f>
        <v>6163.92</v>
      </c>
      <c r="O84" s="3">
        <f>Table1[[#This Row],[ Original_Spend ]]-Table1[[#This Row],[ Total_Spend ]]</f>
        <v>164.64000000000033</v>
      </c>
      <c r="P84" s="2">
        <f t="shared" si="6"/>
        <v>2.6710275279367729E-2</v>
      </c>
      <c r="Q84" s="2">
        <f t="shared" si="7"/>
        <v>0.10714285714285714</v>
      </c>
      <c r="R84" t="str">
        <f t="shared" si="8"/>
        <v>Cancelled</v>
      </c>
      <c r="S84" t="str">
        <f t="shared" si="9"/>
        <v>Status-Date Conflict</v>
      </c>
    </row>
    <row r="85" spans="1:19" x14ac:dyDescent="0.25">
      <c r="A85" t="s">
        <v>110</v>
      </c>
      <c r="B85" t="s">
        <v>17</v>
      </c>
      <c r="C85" s="1">
        <v>45225</v>
      </c>
      <c r="D85" s="1">
        <v>45240</v>
      </c>
      <c r="E85" t="s">
        <v>26</v>
      </c>
      <c r="F85" t="s">
        <v>18</v>
      </c>
      <c r="G85">
        <v>255</v>
      </c>
      <c r="H85" s="3">
        <v>38.64</v>
      </c>
      <c r="I85" s="3">
        <v>33.590000000000003</v>
      </c>
      <c r="J85">
        <v>27</v>
      </c>
      <c r="K85" t="s">
        <v>27</v>
      </c>
      <c r="L85">
        <f t="shared" si="5"/>
        <v>15</v>
      </c>
      <c r="M85" s="3">
        <f>Table1[[#This Row],[Quantity]]*Table1[[#This Row],[Negotiated_Price]]</f>
        <v>8565.4500000000007</v>
      </c>
      <c r="N85" s="3">
        <f>Table1[[#This Row],[Quantity]]*Table1[[#This Row],[Unit_Price]]</f>
        <v>9853.2000000000007</v>
      </c>
      <c r="O85" s="3">
        <f>Table1[[#This Row],[ Original_Spend ]]-Table1[[#This Row],[ Total_Spend ]]</f>
        <v>1287.75</v>
      </c>
      <c r="P85" s="2">
        <f t="shared" si="6"/>
        <v>0.1306935817805383</v>
      </c>
      <c r="Q85" s="2">
        <f t="shared" si="7"/>
        <v>0.10588235294117647</v>
      </c>
      <c r="R85" t="str">
        <f t="shared" si="8"/>
        <v>Late</v>
      </c>
      <c r="S85" t="str">
        <f t="shared" si="9"/>
        <v>OK</v>
      </c>
    </row>
    <row r="86" spans="1:19" x14ac:dyDescent="0.25">
      <c r="A86" t="s">
        <v>111</v>
      </c>
      <c r="B86" t="s">
        <v>20</v>
      </c>
      <c r="C86" s="1">
        <v>44635</v>
      </c>
      <c r="D86" s="1">
        <v>44651</v>
      </c>
      <c r="E86" t="s">
        <v>21</v>
      </c>
      <c r="F86" t="s">
        <v>18</v>
      </c>
      <c r="G86">
        <v>1154</v>
      </c>
      <c r="H86" s="3">
        <v>27.2</v>
      </c>
      <c r="I86" s="3">
        <v>26.07</v>
      </c>
      <c r="J86">
        <v>58</v>
      </c>
      <c r="K86" t="s">
        <v>15</v>
      </c>
      <c r="L86">
        <f t="shared" si="5"/>
        <v>16</v>
      </c>
      <c r="M86" s="3">
        <f>Table1[[#This Row],[Quantity]]*Table1[[#This Row],[Negotiated_Price]]</f>
        <v>30084.78</v>
      </c>
      <c r="N86" s="3">
        <f>Table1[[#This Row],[Quantity]]*Table1[[#This Row],[Unit_Price]]</f>
        <v>31388.799999999999</v>
      </c>
      <c r="O86" s="3">
        <f>Table1[[#This Row],[ Original_Spend ]]-Table1[[#This Row],[ Total_Spend ]]</f>
        <v>1304.0200000000004</v>
      </c>
      <c r="P86" s="2">
        <f t="shared" si="6"/>
        <v>4.1544117647058836E-2</v>
      </c>
      <c r="Q86" s="2">
        <f>IFERROR(J86/G86,0)</f>
        <v>5.0259965337954939E-2</v>
      </c>
      <c r="R86" t="str">
        <f t="shared" si="8"/>
        <v>Late</v>
      </c>
      <c r="S86" t="str">
        <f t="shared" si="9"/>
        <v>OK</v>
      </c>
    </row>
    <row r="87" spans="1:19" x14ac:dyDescent="0.25">
      <c r="A87" t="s">
        <v>112</v>
      </c>
      <c r="B87" t="s">
        <v>17</v>
      </c>
      <c r="C87" s="1">
        <v>45185</v>
      </c>
      <c r="D87" s="1">
        <v>45193</v>
      </c>
      <c r="E87" t="s">
        <v>13</v>
      </c>
      <c r="F87" t="s">
        <v>18</v>
      </c>
      <c r="G87">
        <v>1635</v>
      </c>
      <c r="H87" s="3">
        <v>56.91</v>
      </c>
      <c r="I87" s="3">
        <v>54.37</v>
      </c>
      <c r="J87">
        <v>262</v>
      </c>
      <c r="K87" t="s">
        <v>27</v>
      </c>
      <c r="L87">
        <f t="shared" si="5"/>
        <v>8</v>
      </c>
      <c r="M87" s="3">
        <f>Table1[[#This Row],[Quantity]]*Table1[[#This Row],[Negotiated_Price]]</f>
        <v>88894.95</v>
      </c>
      <c r="N87" s="3">
        <f>Table1[[#This Row],[Quantity]]*Table1[[#This Row],[Unit_Price]]</f>
        <v>93047.849999999991</v>
      </c>
      <c r="O87" s="3">
        <f>Table1[[#This Row],[ Original_Spend ]]-Table1[[#This Row],[ Total_Spend ]]</f>
        <v>4152.8999999999942</v>
      </c>
      <c r="P87" s="2">
        <f t="shared" si="6"/>
        <v>4.4631874890177413E-2</v>
      </c>
      <c r="Q87" s="2">
        <f t="shared" si="7"/>
        <v>0.1602446483180428</v>
      </c>
      <c r="R87" t="str">
        <f t="shared" si="8"/>
        <v>On Time</v>
      </c>
      <c r="S87" t="str">
        <f t="shared" si="9"/>
        <v>OK</v>
      </c>
    </row>
    <row r="88" spans="1:19" x14ac:dyDescent="0.25">
      <c r="A88" t="s">
        <v>113</v>
      </c>
      <c r="B88" t="s">
        <v>17</v>
      </c>
      <c r="C88" s="1">
        <v>45212</v>
      </c>
      <c r="D88" s="1">
        <v>45222</v>
      </c>
      <c r="E88" t="s">
        <v>26</v>
      </c>
      <c r="F88" t="s">
        <v>18</v>
      </c>
      <c r="G88">
        <v>1945</v>
      </c>
      <c r="H88" s="3">
        <v>46.19</v>
      </c>
      <c r="I88" s="3">
        <v>40.119999999999997</v>
      </c>
      <c r="J88">
        <v>278</v>
      </c>
      <c r="K88" t="s">
        <v>27</v>
      </c>
      <c r="L88">
        <f t="shared" si="5"/>
        <v>10</v>
      </c>
      <c r="M88" s="3">
        <f>Table1[[#This Row],[Quantity]]*Table1[[#This Row],[Negotiated_Price]]</f>
        <v>78033.399999999994</v>
      </c>
      <c r="N88" s="3">
        <f>Table1[[#This Row],[Quantity]]*Table1[[#This Row],[Unit_Price]]</f>
        <v>89839.549999999988</v>
      </c>
      <c r="O88" s="3">
        <f>Table1[[#This Row],[ Original_Spend ]]-Table1[[#This Row],[ Total_Spend ]]</f>
        <v>11806.149999999994</v>
      </c>
      <c r="P88" s="2">
        <f t="shared" si="6"/>
        <v>0.1314137259147001</v>
      </c>
      <c r="Q88" s="2">
        <f t="shared" si="7"/>
        <v>0.14293059125964011</v>
      </c>
      <c r="R88" t="str">
        <f t="shared" si="8"/>
        <v>On Time</v>
      </c>
      <c r="S88" t="str">
        <f t="shared" si="9"/>
        <v>OK</v>
      </c>
    </row>
    <row r="89" spans="1:19" x14ac:dyDescent="0.25">
      <c r="A89" t="s">
        <v>114</v>
      </c>
      <c r="B89" t="s">
        <v>17</v>
      </c>
      <c r="C89" s="1">
        <v>44737</v>
      </c>
      <c r="D89" s="1">
        <v>44752</v>
      </c>
      <c r="E89" t="s">
        <v>21</v>
      </c>
      <c r="F89" t="s">
        <v>33</v>
      </c>
      <c r="G89">
        <v>1461</v>
      </c>
      <c r="H89" s="3">
        <v>64.09</v>
      </c>
      <c r="I89" s="3">
        <v>63.39</v>
      </c>
      <c r="J89">
        <v>228</v>
      </c>
      <c r="K89" t="s">
        <v>27</v>
      </c>
      <c r="L89">
        <f t="shared" si="5"/>
        <v>15</v>
      </c>
      <c r="M89" s="3">
        <f>Table1[[#This Row],[Quantity]]*Table1[[#This Row],[Negotiated_Price]]</f>
        <v>92612.79</v>
      </c>
      <c r="N89" s="3">
        <f>Table1[[#This Row],[Quantity]]*Table1[[#This Row],[Unit_Price]]</f>
        <v>93635.49</v>
      </c>
      <c r="O89" s="3">
        <f>Table1[[#This Row],[ Original_Spend ]]-Table1[[#This Row],[ Total_Spend ]]</f>
        <v>1022.7000000000116</v>
      </c>
      <c r="P89" s="2">
        <f t="shared" si="6"/>
        <v>1.0922140739585083E-2</v>
      </c>
      <c r="Q89" s="2">
        <f t="shared" si="7"/>
        <v>0.15605749486652978</v>
      </c>
      <c r="R89" t="str">
        <f t="shared" si="8"/>
        <v>Partially Delivered</v>
      </c>
      <c r="S89" t="str">
        <f t="shared" si="9"/>
        <v>Status-Date Conflict</v>
      </c>
    </row>
    <row r="90" spans="1:19" x14ac:dyDescent="0.25">
      <c r="A90" t="s">
        <v>115</v>
      </c>
      <c r="B90" t="s">
        <v>17</v>
      </c>
      <c r="C90" s="1">
        <v>45108</v>
      </c>
      <c r="D90" s="1">
        <v>45116</v>
      </c>
      <c r="E90" t="s">
        <v>39</v>
      </c>
      <c r="F90" t="s">
        <v>18</v>
      </c>
      <c r="G90">
        <v>1075</v>
      </c>
      <c r="H90" s="3">
        <v>18.53</v>
      </c>
      <c r="I90" s="3">
        <v>16.12</v>
      </c>
      <c r="J90">
        <v>147</v>
      </c>
      <c r="K90" t="s">
        <v>15</v>
      </c>
      <c r="L90">
        <f t="shared" si="5"/>
        <v>8</v>
      </c>
      <c r="M90" s="3">
        <f>Table1[[#This Row],[Quantity]]*Table1[[#This Row],[Negotiated_Price]]</f>
        <v>17329</v>
      </c>
      <c r="N90" s="3">
        <f>Table1[[#This Row],[Quantity]]*Table1[[#This Row],[Unit_Price]]</f>
        <v>19919.75</v>
      </c>
      <c r="O90" s="3">
        <f>Table1[[#This Row],[ Original_Spend ]]-Table1[[#This Row],[ Total_Spend ]]</f>
        <v>2590.75</v>
      </c>
      <c r="P90" s="2">
        <f t="shared" si="6"/>
        <v>0.1300593631948192</v>
      </c>
      <c r="Q90" s="2">
        <f t="shared" si="7"/>
        <v>0.13674418604651162</v>
      </c>
      <c r="R90" t="str">
        <f t="shared" si="8"/>
        <v>On Time</v>
      </c>
      <c r="S90" t="str">
        <f t="shared" si="9"/>
        <v>OK</v>
      </c>
    </row>
    <row r="91" spans="1:19" x14ac:dyDescent="0.25">
      <c r="A91" t="s">
        <v>116</v>
      </c>
      <c r="B91" t="s">
        <v>12</v>
      </c>
      <c r="C91" s="1">
        <v>44812</v>
      </c>
      <c r="E91" t="s">
        <v>24</v>
      </c>
      <c r="F91" t="s">
        <v>18</v>
      </c>
      <c r="G91">
        <v>1071</v>
      </c>
      <c r="H91" s="3">
        <v>101.6</v>
      </c>
      <c r="I91" s="3">
        <v>93.91</v>
      </c>
      <c r="J91">
        <v>25</v>
      </c>
      <c r="K91" t="s">
        <v>15</v>
      </c>
      <c r="L91" t="str">
        <f t="shared" si="5"/>
        <v/>
      </c>
      <c r="M91" s="3">
        <f>Table1[[#This Row],[Quantity]]*Table1[[#This Row],[Negotiated_Price]]</f>
        <v>100577.61</v>
      </c>
      <c r="N91" s="3">
        <f>Table1[[#This Row],[Quantity]]*Table1[[#This Row],[Unit_Price]]</f>
        <v>108813.59999999999</v>
      </c>
      <c r="O91" s="3">
        <f>Table1[[#This Row],[ Original_Spend ]]-Table1[[#This Row],[ Total_Spend ]]</f>
        <v>8235.9899999999907</v>
      </c>
      <c r="P91" s="2">
        <f t="shared" si="6"/>
        <v>7.5688976377952674E-2</v>
      </c>
      <c r="Q91" s="2">
        <f t="shared" si="7"/>
        <v>2.3342670401493931E-2</v>
      </c>
      <c r="R91" t="str">
        <f t="shared" si="8"/>
        <v>Missing Delivery Date</v>
      </c>
      <c r="S91" t="str">
        <f t="shared" si="9"/>
        <v>Missing Delivery Date</v>
      </c>
    </row>
    <row r="92" spans="1:19" x14ac:dyDescent="0.25">
      <c r="A92" t="s">
        <v>117</v>
      </c>
      <c r="B92" t="s">
        <v>29</v>
      </c>
      <c r="C92" s="1">
        <v>44729</v>
      </c>
      <c r="D92" s="1">
        <v>44748</v>
      </c>
      <c r="E92" t="s">
        <v>24</v>
      </c>
      <c r="F92" t="s">
        <v>35</v>
      </c>
      <c r="G92">
        <v>1463</v>
      </c>
      <c r="H92" s="3">
        <v>101.23</v>
      </c>
      <c r="I92" s="3">
        <v>86.17</v>
      </c>
      <c r="J92">
        <v>43</v>
      </c>
      <c r="K92" t="s">
        <v>15</v>
      </c>
      <c r="L92">
        <f t="shared" si="5"/>
        <v>19</v>
      </c>
      <c r="M92" s="3">
        <f>Table1[[#This Row],[Quantity]]*Table1[[#This Row],[Negotiated_Price]]</f>
        <v>126066.71</v>
      </c>
      <c r="N92" s="3">
        <f>Table1[[#This Row],[Quantity]]*Table1[[#This Row],[Unit_Price]]</f>
        <v>148099.49000000002</v>
      </c>
      <c r="O92" s="3">
        <f>Table1[[#This Row],[ Original_Spend ]]-Table1[[#This Row],[ Total_Spend ]]</f>
        <v>22032.780000000013</v>
      </c>
      <c r="P92" s="2">
        <f t="shared" si="6"/>
        <v>0.14877012743257934</v>
      </c>
      <c r="Q92" s="2">
        <f t="shared" si="7"/>
        <v>2.939166097060834E-2</v>
      </c>
      <c r="R92" t="str">
        <f t="shared" si="8"/>
        <v>Pending</v>
      </c>
      <c r="S92" t="str">
        <f t="shared" si="9"/>
        <v>Status-Date Conflict</v>
      </c>
    </row>
    <row r="93" spans="1:19" x14ac:dyDescent="0.25">
      <c r="A93" t="s">
        <v>118</v>
      </c>
      <c r="B93" t="s">
        <v>23</v>
      </c>
      <c r="C93" s="1">
        <v>45035</v>
      </c>
      <c r="D93" s="1">
        <v>45042</v>
      </c>
      <c r="E93" t="s">
        <v>26</v>
      </c>
      <c r="F93" t="s">
        <v>18</v>
      </c>
      <c r="G93">
        <v>615</v>
      </c>
      <c r="H93" s="3">
        <v>78.3</v>
      </c>
      <c r="I93" s="3">
        <v>73.680000000000007</v>
      </c>
      <c r="J93">
        <v>69</v>
      </c>
      <c r="K93" t="s">
        <v>15</v>
      </c>
      <c r="L93">
        <f t="shared" si="5"/>
        <v>7</v>
      </c>
      <c r="M93" s="3">
        <f>Table1[[#This Row],[Quantity]]*Table1[[#This Row],[Negotiated_Price]]</f>
        <v>45313.200000000004</v>
      </c>
      <c r="N93" s="3">
        <f>Table1[[#This Row],[Quantity]]*Table1[[#This Row],[Unit_Price]]</f>
        <v>48154.5</v>
      </c>
      <c r="O93" s="3">
        <f>Table1[[#This Row],[ Original_Spend ]]-Table1[[#This Row],[ Total_Spend ]]</f>
        <v>2841.2999999999956</v>
      </c>
      <c r="P93" s="2">
        <f t="shared" si="6"/>
        <v>5.9003831417624428E-2</v>
      </c>
      <c r="Q93" s="2">
        <f t="shared" si="7"/>
        <v>0.11219512195121951</v>
      </c>
      <c r="R93" t="str">
        <f t="shared" si="8"/>
        <v>On Time</v>
      </c>
      <c r="S93" t="str">
        <f t="shared" si="9"/>
        <v>OK</v>
      </c>
    </row>
    <row r="94" spans="1:19" x14ac:dyDescent="0.25">
      <c r="A94" t="s">
        <v>119</v>
      </c>
      <c r="B94" t="s">
        <v>20</v>
      </c>
      <c r="C94" s="1">
        <v>44950</v>
      </c>
      <c r="D94" s="1">
        <v>44968</v>
      </c>
      <c r="E94" t="s">
        <v>39</v>
      </c>
      <c r="F94" t="s">
        <v>18</v>
      </c>
      <c r="G94">
        <v>1179</v>
      </c>
      <c r="H94" s="3">
        <v>61.74</v>
      </c>
      <c r="I94" s="3">
        <v>56.28</v>
      </c>
      <c r="K94" t="s">
        <v>15</v>
      </c>
      <c r="L94">
        <f t="shared" si="5"/>
        <v>18</v>
      </c>
      <c r="M94" s="3">
        <f>Table1[[#This Row],[Quantity]]*Table1[[#This Row],[Negotiated_Price]]</f>
        <v>66354.12</v>
      </c>
      <c r="N94" s="3">
        <f>Table1[[#This Row],[Quantity]]*Table1[[#This Row],[Unit_Price]]</f>
        <v>72791.460000000006</v>
      </c>
      <c r="O94" s="3">
        <f>Table1[[#This Row],[ Original_Spend ]]-Table1[[#This Row],[ Total_Spend ]]</f>
        <v>6437.3400000000111</v>
      </c>
      <c r="P94" s="2">
        <f t="shared" si="6"/>
        <v>8.8435374149660004E-2</v>
      </c>
      <c r="Q94" s="2">
        <f t="shared" si="7"/>
        <v>0</v>
      </c>
      <c r="R94" t="str">
        <f t="shared" si="8"/>
        <v>Late</v>
      </c>
      <c r="S94" t="str">
        <f t="shared" si="9"/>
        <v>OK</v>
      </c>
    </row>
    <row r="95" spans="1:19" x14ac:dyDescent="0.25">
      <c r="A95" t="s">
        <v>120</v>
      </c>
      <c r="B95" t="s">
        <v>12</v>
      </c>
      <c r="C95" s="1">
        <v>44838</v>
      </c>
      <c r="D95" s="1">
        <v>44843</v>
      </c>
      <c r="E95" t="s">
        <v>39</v>
      </c>
      <c r="F95" t="s">
        <v>33</v>
      </c>
      <c r="G95">
        <v>1845</v>
      </c>
      <c r="H95" s="3">
        <v>39.56</v>
      </c>
      <c r="I95" s="3">
        <v>37.630000000000003</v>
      </c>
      <c r="J95">
        <v>45</v>
      </c>
      <c r="K95" t="s">
        <v>15</v>
      </c>
      <c r="L95">
        <f t="shared" si="5"/>
        <v>5</v>
      </c>
      <c r="M95" s="3">
        <f>Table1[[#This Row],[Quantity]]*Table1[[#This Row],[Negotiated_Price]]</f>
        <v>69427.350000000006</v>
      </c>
      <c r="N95" s="3">
        <f>Table1[[#This Row],[Quantity]]*Table1[[#This Row],[Unit_Price]]</f>
        <v>72988.2</v>
      </c>
      <c r="O95" s="3">
        <f>Table1[[#This Row],[ Original_Spend ]]-Table1[[#This Row],[ Total_Spend ]]</f>
        <v>3560.8499999999913</v>
      </c>
      <c r="P95" s="2">
        <f t="shared" si="6"/>
        <v>4.8786653185035271E-2</v>
      </c>
      <c r="Q95" s="2">
        <f t="shared" si="7"/>
        <v>2.4390243902439025E-2</v>
      </c>
      <c r="R95" t="str">
        <f t="shared" si="8"/>
        <v>Partially Delivered</v>
      </c>
      <c r="S95" t="str">
        <f t="shared" si="9"/>
        <v>Status-Date Conflict</v>
      </c>
    </row>
    <row r="96" spans="1:19" x14ac:dyDescent="0.25">
      <c r="A96" t="s">
        <v>121</v>
      </c>
      <c r="B96" t="s">
        <v>23</v>
      </c>
      <c r="C96" s="1">
        <v>45217</v>
      </c>
      <c r="E96" t="s">
        <v>39</v>
      </c>
      <c r="F96" t="s">
        <v>14</v>
      </c>
      <c r="G96">
        <v>1895</v>
      </c>
      <c r="H96" s="3">
        <v>91.98</v>
      </c>
      <c r="I96" s="3">
        <v>86.27</v>
      </c>
      <c r="J96">
        <v>170</v>
      </c>
      <c r="K96" t="s">
        <v>15</v>
      </c>
      <c r="L96" t="str">
        <f t="shared" si="5"/>
        <v/>
      </c>
      <c r="M96" s="3">
        <f>Table1[[#This Row],[Quantity]]*Table1[[#This Row],[Negotiated_Price]]</f>
        <v>163481.65</v>
      </c>
      <c r="N96" s="3">
        <f>Table1[[#This Row],[Quantity]]*Table1[[#This Row],[Unit_Price]]</f>
        <v>174302.1</v>
      </c>
      <c r="O96" s="3">
        <f>Table1[[#This Row],[ Original_Spend ]]-Table1[[#This Row],[ Total_Spend ]]</f>
        <v>10820.450000000012</v>
      </c>
      <c r="P96" s="2">
        <f t="shared" si="6"/>
        <v>6.2078712763644336E-2</v>
      </c>
      <c r="Q96" s="2">
        <f t="shared" si="7"/>
        <v>8.9709762532981532E-2</v>
      </c>
      <c r="R96" t="str">
        <f t="shared" si="8"/>
        <v>Cancelled</v>
      </c>
      <c r="S96" t="str">
        <f t="shared" si="9"/>
        <v>OK</v>
      </c>
    </row>
    <row r="97" spans="1:19" x14ac:dyDescent="0.25">
      <c r="A97" t="s">
        <v>122</v>
      </c>
      <c r="B97" t="s">
        <v>29</v>
      </c>
      <c r="C97" s="1">
        <v>45266</v>
      </c>
      <c r="D97" s="1">
        <v>45269</v>
      </c>
      <c r="E97" t="s">
        <v>21</v>
      </c>
      <c r="F97" t="s">
        <v>33</v>
      </c>
      <c r="G97">
        <v>1550</v>
      </c>
      <c r="H97" s="3">
        <v>79.86</v>
      </c>
      <c r="I97" s="3">
        <v>69.569999999999993</v>
      </c>
      <c r="J97">
        <v>32</v>
      </c>
      <c r="K97" t="s">
        <v>27</v>
      </c>
      <c r="L97">
        <f t="shared" si="5"/>
        <v>3</v>
      </c>
      <c r="M97" s="3">
        <f>Table1[[#This Row],[Quantity]]*Table1[[#This Row],[Negotiated_Price]]</f>
        <v>107833.49999999999</v>
      </c>
      <c r="N97" s="3">
        <f>Table1[[#This Row],[Quantity]]*Table1[[#This Row],[Unit_Price]]</f>
        <v>123783</v>
      </c>
      <c r="O97" s="3">
        <f>Table1[[#This Row],[ Original_Spend ]]-Table1[[#This Row],[ Total_Spend ]]</f>
        <v>15949.500000000015</v>
      </c>
      <c r="P97" s="2">
        <f t="shared" si="6"/>
        <v>0.12885048835462071</v>
      </c>
      <c r="Q97" s="2">
        <f t="shared" si="7"/>
        <v>2.0645161290322581E-2</v>
      </c>
      <c r="R97" t="str">
        <f t="shared" si="8"/>
        <v>Partially Delivered</v>
      </c>
      <c r="S97" t="str">
        <f t="shared" si="9"/>
        <v>Status-Date Conflict</v>
      </c>
    </row>
    <row r="98" spans="1:19" x14ac:dyDescent="0.25">
      <c r="A98" t="s">
        <v>123</v>
      </c>
      <c r="B98" t="s">
        <v>17</v>
      </c>
      <c r="C98" s="1">
        <v>45132</v>
      </c>
      <c r="D98" s="1">
        <v>45142</v>
      </c>
      <c r="E98" t="s">
        <v>24</v>
      </c>
      <c r="F98" t="s">
        <v>18</v>
      </c>
      <c r="G98">
        <v>752</v>
      </c>
      <c r="H98" s="3">
        <v>26.85</v>
      </c>
      <c r="I98" s="3">
        <v>24.37</v>
      </c>
      <c r="K98" t="s">
        <v>27</v>
      </c>
      <c r="L98">
        <f t="shared" si="5"/>
        <v>10</v>
      </c>
      <c r="M98" s="3">
        <f>Table1[[#This Row],[Quantity]]*Table1[[#This Row],[Negotiated_Price]]</f>
        <v>18326.240000000002</v>
      </c>
      <c r="N98" s="3">
        <f>Table1[[#This Row],[Quantity]]*Table1[[#This Row],[Unit_Price]]</f>
        <v>20191.2</v>
      </c>
      <c r="O98" s="3">
        <f>Table1[[#This Row],[ Original_Spend ]]-Table1[[#This Row],[ Total_Spend ]]</f>
        <v>1864.9599999999991</v>
      </c>
      <c r="P98" s="2">
        <f t="shared" si="6"/>
        <v>9.2364990689012993E-2</v>
      </c>
      <c r="Q98" s="2">
        <f t="shared" si="7"/>
        <v>0</v>
      </c>
      <c r="R98" t="str">
        <f t="shared" si="8"/>
        <v>On Time</v>
      </c>
      <c r="S98" t="str">
        <f t="shared" si="9"/>
        <v>OK</v>
      </c>
    </row>
    <row r="99" spans="1:19" x14ac:dyDescent="0.25">
      <c r="A99" t="s">
        <v>124</v>
      </c>
      <c r="B99" t="s">
        <v>29</v>
      </c>
      <c r="C99" s="1">
        <v>44786</v>
      </c>
      <c r="D99" s="1">
        <v>44805</v>
      </c>
      <c r="E99" t="s">
        <v>39</v>
      </c>
      <c r="F99" t="s">
        <v>18</v>
      </c>
      <c r="G99">
        <v>451</v>
      </c>
      <c r="H99" s="3">
        <v>95.2</v>
      </c>
      <c r="I99" s="3">
        <v>90.07</v>
      </c>
      <c r="J99">
        <v>21</v>
      </c>
      <c r="K99" t="s">
        <v>15</v>
      </c>
      <c r="L99">
        <f t="shared" si="5"/>
        <v>19</v>
      </c>
      <c r="M99" s="3">
        <f>Table1[[#This Row],[Quantity]]*Table1[[#This Row],[Negotiated_Price]]</f>
        <v>40621.57</v>
      </c>
      <c r="N99" s="3">
        <f>Table1[[#This Row],[Quantity]]*Table1[[#This Row],[Unit_Price]]</f>
        <v>42935.200000000004</v>
      </c>
      <c r="O99" s="3">
        <f>Table1[[#This Row],[ Original_Spend ]]-Table1[[#This Row],[ Total_Spend ]]</f>
        <v>2313.6300000000047</v>
      </c>
      <c r="P99" s="2">
        <f t="shared" si="6"/>
        <v>5.3886554621848839E-2</v>
      </c>
      <c r="Q99" s="2">
        <f t="shared" si="7"/>
        <v>4.6563192904656318E-2</v>
      </c>
      <c r="R99" t="str">
        <f t="shared" si="8"/>
        <v>Late</v>
      </c>
      <c r="S99" t="str">
        <f t="shared" si="9"/>
        <v>OK</v>
      </c>
    </row>
    <row r="100" spans="1:19" x14ac:dyDescent="0.25">
      <c r="A100" t="s">
        <v>125</v>
      </c>
      <c r="B100" t="s">
        <v>23</v>
      </c>
      <c r="C100" s="1">
        <v>45263</v>
      </c>
      <c r="E100" t="s">
        <v>13</v>
      </c>
      <c r="F100" t="s">
        <v>18</v>
      </c>
      <c r="G100">
        <v>779</v>
      </c>
      <c r="H100" s="3">
        <v>93.69</v>
      </c>
      <c r="I100" s="3">
        <v>90.92</v>
      </c>
      <c r="J100">
        <v>66</v>
      </c>
      <c r="K100" t="s">
        <v>15</v>
      </c>
      <c r="L100" t="str">
        <f t="shared" si="5"/>
        <v/>
      </c>
      <c r="M100" s="3">
        <f>Table1[[#This Row],[Quantity]]*Table1[[#This Row],[Negotiated_Price]]</f>
        <v>70826.680000000008</v>
      </c>
      <c r="N100" s="3">
        <f>Table1[[#This Row],[Quantity]]*Table1[[#This Row],[Unit_Price]]</f>
        <v>72984.509999999995</v>
      </c>
      <c r="O100" s="3">
        <f>Table1[[#This Row],[ Original_Spend ]]-Table1[[#This Row],[ Total_Spend ]]</f>
        <v>2157.8299999999872</v>
      </c>
      <c r="P100" s="2">
        <f t="shared" si="6"/>
        <v>2.9565588643398269E-2</v>
      </c>
      <c r="Q100" s="2">
        <f t="shared" si="7"/>
        <v>8.4724005134788186E-2</v>
      </c>
      <c r="R100" t="str">
        <f t="shared" si="8"/>
        <v>Missing Delivery Date</v>
      </c>
      <c r="S100" t="str">
        <f t="shared" si="9"/>
        <v>Missing Delivery Date</v>
      </c>
    </row>
    <row r="101" spans="1:19" x14ac:dyDescent="0.25">
      <c r="A101" t="s">
        <v>126</v>
      </c>
      <c r="B101" t="s">
        <v>23</v>
      </c>
      <c r="C101" s="1">
        <v>44894</v>
      </c>
      <c r="D101" s="1">
        <v>44909</v>
      </c>
      <c r="E101" t="s">
        <v>21</v>
      </c>
      <c r="F101" t="s">
        <v>35</v>
      </c>
      <c r="G101">
        <v>1629</v>
      </c>
      <c r="H101" s="3">
        <v>100.26</v>
      </c>
      <c r="I101" s="3">
        <v>86.44</v>
      </c>
      <c r="J101">
        <v>187</v>
      </c>
      <c r="K101" t="s">
        <v>27</v>
      </c>
      <c r="L101">
        <f t="shared" si="5"/>
        <v>15</v>
      </c>
      <c r="M101" s="3">
        <f>Table1[[#This Row],[Quantity]]*Table1[[#This Row],[Negotiated_Price]]</f>
        <v>140810.76</v>
      </c>
      <c r="N101" s="3">
        <f>Table1[[#This Row],[Quantity]]*Table1[[#This Row],[Unit_Price]]</f>
        <v>163323.54</v>
      </c>
      <c r="O101" s="3">
        <f>Table1[[#This Row],[ Original_Spend ]]-Table1[[#This Row],[ Total_Spend ]]</f>
        <v>22512.78</v>
      </c>
      <c r="P101" s="2">
        <f t="shared" si="6"/>
        <v>0.13784161180929583</v>
      </c>
      <c r="Q101" s="2">
        <f t="shared" si="7"/>
        <v>0.11479435236341314</v>
      </c>
      <c r="R101" t="str">
        <f t="shared" si="8"/>
        <v>Pending</v>
      </c>
      <c r="S101" t="str">
        <f t="shared" si="9"/>
        <v>Status-Date Conflict</v>
      </c>
    </row>
    <row r="102" spans="1:19" x14ac:dyDescent="0.25">
      <c r="A102" t="s">
        <v>127</v>
      </c>
      <c r="B102" t="s">
        <v>12</v>
      </c>
      <c r="C102" s="1">
        <v>44614</v>
      </c>
      <c r="D102" s="1">
        <v>44619</v>
      </c>
      <c r="E102" t="s">
        <v>13</v>
      </c>
      <c r="F102" t="s">
        <v>18</v>
      </c>
      <c r="G102">
        <v>211</v>
      </c>
      <c r="H102" s="3">
        <v>75.69</v>
      </c>
      <c r="I102" s="3">
        <v>65.400000000000006</v>
      </c>
      <c r="J102">
        <v>2</v>
      </c>
      <c r="K102" t="s">
        <v>15</v>
      </c>
      <c r="L102">
        <f t="shared" si="5"/>
        <v>5</v>
      </c>
      <c r="M102" s="3">
        <f>Table1[[#This Row],[Quantity]]*Table1[[#This Row],[Negotiated_Price]]</f>
        <v>13799.400000000001</v>
      </c>
      <c r="N102" s="3">
        <f>Table1[[#This Row],[Quantity]]*Table1[[#This Row],[Unit_Price]]</f>
        <v>15970.59</v>
      </c>
      <c r="O102" s="3">
        <f>Table1[[#This Row],[ Original_Spend ]]-Table1[[#This Row],[ Total_Spend ]]</f>
        <v>2171.1899999999987</v>
      </c>
      <c r="P102" s="2">
        <f t="shared" si="6"/>
        <v>0.1359492667459373</v>
      </c>
      <c r="Q102" s="2">
        <f t="shared" si="7"/>
        <v>9.4786729857819912E-3</v>
      </c>
      <c r="R102" t="str">
        <f t="shared" si="8"/>
        <v>On Time</v>
      </c>
      <c r="S102" t="str">
        <f t="shared" si="9"/>
        <v>OK</v>
      </c>
    </row>
    <row r="103" spans="1:19" x14ac:dyDescent="0.25">
      <c r="A103" t="s">
        <v>128</v>
      </c>
      <c r="B103" t="s">
        <v>12</v>
      </c>
      <c r="C103" s="1">
        <v>44796</v>
      </c>
      <c r="E103" t="s">
        <v>13</v>
      </c>
      <c r="F103" t="s">
        <v>18</v>
      </c>
      <c r="G103">
        <v>251</v>
      </c>
      <c r="H103" s="3">
        <v>67.489999999999995</v>
      </c>
      <c r="I103" s="3">
        <v>64.48</v>
      </c>
      <c r="J103">
        <v>2</v>
      </c>
      <c r="K103" t="s">
        <v>15</v>
      </c>
      <c r="L103" t="str">
        <f t="shared" si="5"/>
        <v/>
      </c>
      <c r="M103" s="3">
        <f>Table1[[#This Row],[Quantity]]*Table1[[#This Row],[Negotiated_Price]]</f>
        <v>16184.480000000001</v>
      </c>
      <c r="N103" s="3">
        <f>Table1[[#This Row],[Quantity]]*Table1[[#This Row],[Unit_Price]]</f>
        <v>16939.989999999998</v>
      </c>
      <c r="O103" s="3">
        <f>Table1[[#This Row],[ Original_Spend ]]-Table1[[#This Row],[ Total_Spend ]]</f>
        <v>755.50999999999658</v>
      </c>
      <c r="P103" s="2">
        <f t="shared" si="6"/>
        <v>4.4599199881463727E-2</v>
      </c>
      <c r="Q103" s="2">
        <f t="shared" si="7"/>
        <v>7.9681274900398405E-3</v>
      </c>
      <c r="R103" t="str">
        <f t="shared" si="8"/>
        <v>Missing Delivery Date</v>
      </c>
      <c r="S103" t="str">
        <f t="shared" si="9"/>
        <v>Missing Delivery Date</v>
      </c>
    </row>
    <row r="104" spans="1:19" x14ac:dyDescent="0.25">
      <c r="A104" t="s">
        <v>129</v>
      </c>
      <c r="B104" t="s">
        <v>20</v>
      </c>
      <c r="C104" s="1">
        <v>44594</v>
      </c>
      <c r="D104" s="1">
        <v>44610</v>
      </c>
      <c r="E104" t="s">
        <v>26</v>
      </c>
      <c r="F104" t="s">
        <v>18</v>
      </c>
      <c r="G104">
        <v>1045</v>
      </c>
      <c r="H104" s="3">
        <v>47.88</v>
      </c>
      <c r="I104" s="3">
        <v>44.65</v>
      </c>
      <c r="J104">
        <v>69</v>
      </c>
      <c r="K104" t="s">
        <v>15</v>
      </c>
      <c r="L104">
        <f t="shared" si="5"/>
        <v>16</v>
      </c>
      <c r="M104" s="3">
        <f>Table1[[#This Row],[Quantity]]*Table1[[#This Row],[Negotiated_Price]]</f>
        <v>46659.25</v>
      </c>
      <c r="N104" s="3">
        <f>Table1[[#This Row],[Quantity]]*Table1[[#This Row],[Unit_Price]]</f>
        <v>50034.600000000006</v>
      </c>
      <c r="O104" s="3">
        <f>Table1[[#This Row],[ Original_Spend ]]-Table1[[#This Row],[ Total_Spend ]]</f>
        <v>3375.3500000000058</v>
      </c>
      <c r="P104" s="2">
        <f t="shared" si="6"/>
        <v>6.7460317460317568E-2</v>
      </c>
      <c r="Q104" s="2">
        <f t="shared" si="7"/>
        <v>6.6028708133971298E-2</v>
      </c>
      <c r="R104" t="str">
        <f t="shared" si="8"/>
        <v>Late</v>
      </c>
      <c r="S104" t="str">
        <f t="shared" si="9"/>
        <v>OK</v>
      </c>
    </row>
    <row r="105" spans="1:19" x14ac:dyDescent="0.25">
      <c r="A105" t="s">
        <v>130</v>
      </c>
      <c r="B105" t="s">
        <v>17</v>
      </c>
      <c r="C105" s="1">
        <v>44885</v>
      </c>
      <c r="D105" s="1">
        <v>44905</v>
      </c>
      <c r="E105" t="s">
        <v>21</v>
      </c>
      <c r="F105" t="s">
        <v>18</v>
      </c>
      <c r="G105">
        <v>319</v>
      </c>
      <c r="H105" s="3">
        <v>98.64</v>
      </c>
      <c r="I105" s="3">
        <v>89.15</v>
      </c>
      <c r="J105">
        <v>57</v>
      </c>
      <c r="K105" t="s">
        <v>15</v>
      </c>
      <c r="L105">
        <f t="shared" si="5"/>
        <v>20</v>
      </c>
      <c r="M105" s="3">
        <f>Table1[[#This Row],[Quantity]]*Table1[[#This Row],[Negotiated_Price]]</f>
        <v>28438.850000000002</v>
      </c>
      <c r="N105" s="3">
        <f>Table1[[#This Row],[Quantity]]*Table1[[#This Row],[Unit_Price]]</f>
        <v>31466.16</v>
      </c>
      <c r="O105" s="3">
        <f>Table1[[#This Row],[ Original_Spend ]]-Table1[[#This Row],[ Total_Spend ]]</f>
        <v>3027.3099999999977</v>
      </c>
      <c r="P105" s="2">
        <f t="shared" si="6"/>
        <v>9.6208434712084276E-2</v>
      </c>
      <c r="Q105" s="2">
        <f t="shared" si="7"/>
        <v>0.17868338557993729</v>
      </c>
      <c r="R105" t="str">
        <f t="shared" si="8"/>
        <v>Late</v>
      </c>
      <c r="S105" t="str">
        <f t="shared" si="9"/>
        <v>OK</v>
      </c>
    </row>
    <row r="106" spans="1:19" x14ac:dyDescent="0.25">
      <c r="A106" t="s">
        <v>131</v>
      </c>
      <c r="B106" t="s">
        <v>29</v>
      </c>
      <c r="C106" s="1">
        <v>44972</v>
      </c>
      <c r="D106" s="1">
        <v>44986</v>
      </c>
      <c r="E106" t="s">
        <v>13</v>
      </c>
      <c r="F106" t="s">
        <v>33</v>
      </c>
      <c r="G106">
        <v>1936</v>
      </c>
      <c r="H106" s="3">
        <v>93.66</v>
      </c>
      <c r="I106" s="3">
        <v>92.24</v>
      </c>
      <c r="J106">
        <v>58</v>
      </c>
      <c r="K106" t="s">
        <v>15</v>
      </c>
      <c r="L106">
        <f t="shared" si="5"/>
        <v>14</v>
      </c>
      <c r="M106" s="3">
        <f>Table1[[#This Row],[Quantity]]*Table1[[#This Row],[Negotiated_Price]]</f>
        <v>178576.63999999998</v>
      </c>
      <c r="N106" s="3">
        <f>Table1[[#This Row],[Quantity]]*Table1[[#This Row],[Unit_Price]]</f>
        <v>181325.75999999998</v>
      </c>
      <c r="O106" s="3">
        <f>Table1[[#This Row],[ Original_Spend ]]-Table1[[#This Row],[ Total_Spend ]]</f>
        <v>2749.1199999999953</v>
      </c>
      <c r="P106" s="2">
        <f t="shared" si="6"/>
        <v>1.5161221439248321E-2</v>
      </c>
      <c r="Q106" s="2">
        <f t="shared" si="7"/>
        <v>2.9958677685950414E-2</v>
      </c>
      <c r="R106" t="str">
        <f t="shared" si="8"/>
        <v>Partially Delivered</v>
      </c>
      <c r="S106" t="str">
        <f t="shared" si="9"/>
        <v>Status-Date Conflict</v>
      </c>
    </row>
    <row r="107" spans="1:19" x14ac:dyDescent="0.25">
      <c r="A107" t="s">
        <v>132</v>
      </c>
      <c r="B107" t="s">
        <v>17</v>
      </c>
      <c r="C107" s="1">
        <v>44836</v>
      </c>
      <c r="D107" s="1">
        <v>44856</v>
      </c>
      <c r="E107" t="s">
        <v>21</v>
      </c>
      <c r="F107" t="s">
        <v>14</v>
      </c>
      <c r="G107">
        <v>865</v>
      </c>
      <c r="H107" s="3">
        <v>14.7</v>
      </c>
      <c r="I107" s="3">
        <v>13.14</v>
      </c>
      <c r="J107">
        <v>135</v>
      </c>
      <c r="K107" t="s">
        <v>27</v>
      </c>
      <c r="L107">
        <f t="shared" si="5"/>
        <v>20</v>
      </c>
      <c r="M107" s="3">
        <f>Table1[[#This Row],[Quantity]]*Table1[[#This Row],[Negotiated_Price]]</f>
        <v>11366.1</v>
      </c>
      <c r="N107" s="3">
        <f>Table1[[#This Row],[Quantity]]*Table1[[#This Row],[Unit_Price]]</f>
        <v>12715.5</v>
      </c>
      <c r="O107" s="3">
        <f>Table1[[#This Row],[ Original_Spend ]]-Table1[[#This Row],[ Total_Spend ]]</f>
        <v>1349.3999999999996</v>
      </c>
      <c r="P107" s="2">
        <f t="shared" si="6"/>
        <v>0.1061224489795918</v>
      </c>
      <c r="Q107" s="2">
        <f t="shared" si="7"/>
        <v>0.15606936416184972</v>
      </c>
      <c r="R107" t="str">
        <f t="shared" si="8"/>
        <v>Cancelled</v>
      </c>
      <c r="S107" t="str">
        <f t="shared" si="9"/>
        <v>Status-Date Conflict</v>
      </c>
    </row>
    <row r="108" spans="1:19" x14ac:dyDescent="0.25">
      <c r="A108" t="s">
        <v>133</v>
      </c>
      <c r="B108" t="s">
        <v>29</v>
      </c>
      <c r="C108" s="1">
        <v>44629</v>
      </c>
      <c r="D108" s="1">
        <v>44632</v>
      </c>
      <c r="E108" t="s">
        <v>39</v>
      </c>
      <c r="F108" t="s">
        <v>18</v>
      </c>
      <c r="G108">
        <v>1344</v>
      </c>
      <c r="H108" s="3">
        <v>12.5</v>
      </c>
      <c r="I108" s="3">
        <v>10.87</v>
      </c>
      <c r="J108">
        <v>44</v>
      </c>
      <c r="K108" t="s">
        <v>15</v>
      </c>
      <c r="L108">
        <f t="shared" si="5"/>
        <v>3</v>
      </c>
      <c r="M108" s="3">
        <f>Table1[[#This Row],[Quantity]]*Table1[[#This Row],[Negotiated_Price]]</f>
        <v>14609.279999999999</v>
      </c>
      <c r="N108" s="3">
        <f>Table1[[#This Row],[Quantity]]*Table1[[#This Row],[Unit_Price]]</f>
        <v>16800</v>
      </c>
      <c r="O108" s="3">
        <f>Table1[[#This Row],[ Original_Spend ]]-Table1[[#This Row],[ Total_Spend ]]</f>
        <v>2190.7200000000012</v>
      </c>
      <c r="P108" s="2">
        <f t="shared" si="6"/>
        <v>0.13040000000000007</v>
      </c>
      <c r="Q108" s="2">
        <f t="shared" si="7"/>
        <v>3.273809523809524E-2</v>
      </c>
      <c r="R108" t="str">
        <f t="shared" si="8"/>
        <v>On Time</v>
      </c>
      <c r="S108" t="str">
        <f t="shared" si="9"/>
        <v>OK</v>
      </c>
    </row>
    <row r="109" spans="1:19" x14ac:dyDescent="0.25">
      <c r="A109" t="s">
        <v>134</v>
      </c>
      <c r="B109" t="s">
        <v>17</v>
      </c>
      <c r="C109" s="1">
        <v>44778</v>
      </c>
      <c r="D109" s="1">
        <v>44797</v>
      </c>
      <c r="E109" t="s">
        <v>26</v>
      </c>
      <c r="F109" t="s">
        <v>35</v>
      </c>
      <c r="G109">
        <v>505</v>
      </c>
      <c r="H109" s="3">
        <v>45.42</v>
      </c>
      <c r="I109" s="3">
        <v>40.369999999999997</v>
      </c>
      <c r="J109">
        <v>62</v>
      </c>
      <c r="K109" t="s">
        <v>15</v>
      </c>
      <c r="L109">
        <f t="shared" si="5"/>
        <v>19</v>
      </c>
      <c r="M109" s="3">
        <f>Table1[[#This Row],[Quantity]]*Table1[[#This Row],[Negotiated_Price]]</f>
        <v>20386.849999999999</v>
      </c>
      <c r="N109" s="3">
        <f>Table1[[#This Row],[Quantity]]*Table1[[#This Row],[Unit_Price]]</f>
        <v>22937.100000000002</v>
      </c>
      <c r="O109" s="3">
        <f>Table1[[#This Row],[ Original_Spend ]]-Table1[[#This Row],[ Total_Spend ]]</f>
        <v>2550.2500000000036</v>
      </c>
      <c r="P109" s="2">
        <f t="shared" si="6"/>
        <v>0.11118450022016747</v>
      </c>
      <c r="Q109" s="2">
        <f t="shared" si="7"/>
        <v>0.12277227722772277</v>
      </c>
      <c r="R109" t="str">
        <f t="shared" si="8"/>
        <v>Pending</v>
      </c>
      <c r="S109" t="str">
        <f t="shared" si="9"/>
        <v>Status-Date Conflict</v>
      </c>
    </row>
    <row r="110" spans="1:19" x14ac:dyDescent="0.25">
      <c r="A110" t="s">
        <v>135</v>
      </c>
      <c r="B110" t="s">
        <v>23</v>
      </c>
      <c r="C110" s="1">
        <v>45142</v>
      </c>
      <c r="D110" s="1">
        <v>45143</v>
      </c>
      <c r="E110" t="s">
        <v>24</v>
      </c>
      <c r="F110" t="s">
        <v>18</v>
      </c>
      <c r="G110">
        <v>1535</v>
      </c>
      <c r="H110" s="3">
        <v>90.83</v>
      </c>
      <c r="I110" s="3">
        <v>78.28</v>
      </c>
      <c r="J110">
        <v>151</v>
      </c>
      <c r="K110" t="s">
        <v>27</v>
      </c>
      <c r="L110">
        <f t="shared" si="5"/>
        <v>1</v>
      </c>
      <c r="M110" s="3">
        <f>Table1[[#This Row],[Quantity]]*Table1[[#This Row],[Negotiated_Price]]</f>
        <v>120159.8</v>
      </c>
      <c r="N110" s="3">
        <f>Table1[[#This Row],[Quantity]]*Table1[[#This Row],[Unit_Price]]</f>
        <v>139424.04999999999</v>
      </c>
      <c r="O110" s="3">
        <f>Table1[[#This Row],[ Original_Spend ]]-Table1[[#This Row],[ Total_Spend ]]</f>
        <v>19264.249999999985</v>
      </c>
      <c r="P110" s="2">
        <f t="shared" si="6"/>
        <v>0.13817020808103039</v>
      </c>
      <c r="Q110" s="2">
        <f t="shared" si="7"/>
        <v>9.8371335504885998E-2</v>
      </c>
      <c r="R110" t="str">
        <f t="shared" si="8"/>
        <v>On Time</v>
      </c>
      <c r="S110" t="str">
        <f t="shared" si="9"/>
        <v>OK</v>
      </c>
    </row>
    <row r="111" spans="1:19" x14ac:dyDescent="0.25">
      <c r="A111" t="s">
        <v>136</v>
      </c>
      <c r="B111" t="s">
        <v>23</v>
      </c>
      <c r="C111" s="1">
        <v>44884</v>
      </c>
      <c r="E111" t="s">
        <v>13</v>
      </c>
      <c r="F111" t="s">
        <v>18</v>
      </c>
      <c r="G111">
        <v>1800</v>
      </c>
      <c r="H111" s="3">
        <v>103.8</v>
      </c>
      <c r="I111" s="3">
        <v>96.27</v>
      </c>
      <c r="J111">
        <v>166</v>
      </c>
      <c r="K111" t="s">
        <v>15</v>
      </c>
      <c r="L111" t="str">
        <f t="shared" si="5"/>
        <v/>
      </c>
      <c r="M111" s="3">
        <f>Table1[[#This Row],[Quantity]]*Table1[[#This Row],[Negotiated_Price]]</f>
        <v>173286</v>
      </c>
      <c r="N111" s="3">
        <f>Table1[[#This Row],[Quantity]]*Table1[[#This Row],[Unit_Price]]</f>
        <v>186840</v>
      </c>
      <c r="O111" s="3">
        <f>Table1[[#This Row],[ Original_Spend ]]-Table1[[#This Row],[ Total_Spend ]]</f>
        <v>13554</v>
      </c>
      <c r="P111" s="2">
        <f t="shared" si="6"/>
        <v>7.2543352601156075E-2</v>
      </c>
      <c r="Q111" s="2">
        <f t="shared" si="7"/>
        <v>9.2222222222222219E-2</v>
      </c>
      <c r="R111" t="str">
        <f t="shared" si="8"/>
        <v>Missing Delivery Date</v>
      </c>
      <c r="S111" t="str">
        <f t="shared" si="9"/>
        <v>Missing Delivery Date</v>
      </c>
    </row>
    <row r="112" spans="1:19" x14ac:dyDescent="0.25">
      <c r="A112" t="s">
        <v>137</v>
      </c>
      <c r="B112" t="s">
        <v>17</v>
      </c>
      <c r="C112" s="1">
        <v>44779</v>
      </c>
      <c r="D112" s="1">
        <v>44788</v>
      </c>
      <c r="E112" t="s">
        <v>26</v>
      </c>
      <c r="F112" t="s">
        <v>35</v>
      </c>
      <c r="G112">
        <v>1325</v>
      </c>
      <c r="H112" s="3">
        <v>24.36</v>
      </c>
      <c r="I112" s="3">
        <v>22.75</v>
      </c>
      <c r="J112">
        <v>206</v>
      </c>
      <c r="K112" t="s">
        <v>15</v>
      </c>
      <c r="L112">
        <f t="shared" si="5"/>
        <v>9</v>
      </c>
      <c r="M112" s="3">
        <f>Table1[[#This Row],[Quantity]]*Table1[[#This Row],[Negotiated_Price]]</f>
        <v>30143.75</v>
      </c>
      <c r="N112" s="3">
        <f>Table1[[#This Row],[Quantity]]*Table1[[#This Row],[Unit_Price]]</f>
        <v>32277</v>
      </c>
      <c r="O112" s="3">
        <f>Table1[[#This Row],[ Original_Spend ]]-Table1[[#This Row],[ Total_Spend ]]</f>
        <v>2133.25</v>
      </c>
      <c r="P112" s="2">
        <f t="shared" si="6"/>
        <v>6.6091954022988508E-2</v>
      </c>
      <c r="Q112" s="2">
        <f t="shared" si="7"/>
        <v>0.15547169811320755</v>
      </c>
      <c r="R112" t="str">
        <f t="shared" si="8"/>
        <v>Pending</v>
      </c>
      <c r="S112" t="str">
        <f t="shared" si="9"/>
        <v>Status-Date Conflict</v>
      </c>
    </row>
    <row r="113" spans="1:19" x14ac:dyDescent="0.25">
      <c r="A113" t="s">
        <v>138</v>
      </c>
      <c r="B113" t="s">
        <v>20</v>
      </c>
      <c r="C113" s="1">
        <v>45233</v>
      </c>
      <c r="D113" s="1">
        <v>45239</v>
      </c>
      <c r="E113" t="s">
        <v>26</v>
      </c>
      <c r="F113" t="s">
        <v>18</v>
      </c>
      <c r="G113">
        <v>1066</v>
      </c>
      <c r="H113" s="3">
        <v>70.45</v>
      </c>
      <c r="I113" s="3">
        <v>65.88</v>
      </c>
      <c r="J113">
        <v>56</v>
      </c>
      <c r="K113" t="s">
        <v>27</v>
      </c>
      <c r="L113">
        <f t="shared" si="5"/>
        <v>6</v>
      </c>
      <c r="M113" s="3">
        <f>Table1[[#This Row],[Quantity]]*Table1[[#This Row],[Negotiated_Price]]</f>
        <v>70228.08</v>
      </c>
      <c r="N113" s="3">
        <f>Table1[[#This Row],[Quantity]]*Table1[[#This Row],[Unit_Price]]</f>
        <v>75099.7</v>
      </c>
      <c r="O113" s="3">
        <f>Table1[[#This Row],[ Original_Spend ]]-Table1[[#This Row],[ Total_Spend ]]</f>
        <v>4871.6199999999953</v>
      </c>
      <c r="P113" s="2">
        <f t="shared" si="6"/>
        <v>6.4868701206529392E-2</v>
      </c>
      <c r="Q113" s="2">
        <f t="shared" si="7"/>
        <v>5.2532833020637902E-2</v>
      </c>
      <c r="R113" t="str">
        <f t="shared" si="8"/>
        <v>On Time</v>
      </c>
      <c r="S113" t="str">
        <f t="shared" si="9"/>
        <v>OK</v>
      </c>
    </row>
    <row r="114" spans="1:19" x14ac:dyDescent="0.25">
      <c r="A114" t="s">
        <v>139</v>
      </c>
      <c r="B114" t="s">
        <v>23</v>
      </c>
      <c r="C114" s="1">
        <v>45073</v>
      </c>
      <c r="D114" s="1">
        <v>45088</v>
      </c>
      <c r="E114" t="s">
        <v>26</v>
      </c>
      <c r="F114" t="s">
        <v>18</v>
      </c>
      <c r="G114">
        <v>1775</v>
      </c>
      <c r="H114" s="3">
        <v>47.82</v>
      </c>
      <c r="I114" s="3">
        <v>45.86</v>
      </c>
      <c r="J114">
        <v>180</v>
      </c>
      <c r="K114" t="s">
        <v>15</v>
      </c>
      <c r="L114">
        <f t="shared" si="5"/>
        <v>15</v>
      </c>
      <c r="M114" s="3">
        <f>Table1[[#This Row],[Quantity]]*Table1[[#This Row],[Negotiated_Price]]</f>
        <v>81401.5</v>
      </c>
      <c r="N114" s="3">
        <f>Table1[[#This Row],[Quantity]]*Table1[[#This Row],[Unit_Price]]</f>
        <v>84880.5</v>
      </c>
      <c r="O114" s="3">
        <f>Table1[[#This Row],[ Original_Spend ]]-Table1[[#This Row],[ Total_Spend ]]</f>
        <v>3479</v>
      </c>
      <c r="P114" s="2">
        <f t="shared" si="6"/>
        <v>4.0987034713508994E-2</v>
      </c>
      <c r="Q114" s="2">
        <f t="shared" si="7"/>
        <v>0.10140845070422536</v>
      </c>
      <c r="R114" t="str">
        <f t="shared" si="8"/>
        <v>Late</v>
      </c>
      <c r="S114" t="str">
        <f t="shared" si="9"/>
        <v>OK</v>
      </c>
    </row>
    <row r="115" spans="1:19" x14ac:dyDescent="0.25">
      <c r="A115" t="s">
        <v>140</v>
      </c>
      <c r="B115" t="s">
        <v>20</v>
      </c>
      <c r="C115" s="1">
        <v>44967</v>
      </c>
      <c r="E115" t="s">
        <v>26</v>
      </c>
      <c r="F115" t="s">
        <v>33</v>
      </c>
      <c r="G115">
        <v>345</v>
      </c>
      <c r="H115" s="3">
        <v>103.62</v>
      </c>
      <c r="I115" s="3">
        <v>98.09</v>
      </c>
      <c r="J115">
        <v>25</v>
      </c>
      <c r="K115" t="s">
        <v>27</v>
      </c>
      <c r="L115" t="str">
        <f t="shared" si="5"/>
        <v/>
      </c>
      <c r="M115" s="3">
        <f>Table1[[#This Row],[Quantity]]*Table1[[#This Row],[Negotiated_Price]]</f>
        <v>33841.050000000003</v>
      </c>
      <c r="N115" s="3">
        <f>Table1[[#This Row],[Quantity]]*Table1[[#This Row],[Unit_Price]]</f>
        <v>35748.9</v>
      </c>
      <c r="O115" s="3">
        <f>Table1[[#This Row],[ Original_Spend ]]-Table1[[#This Row],[ Total_Spend ]]</f>
        <v>1907.8499999999985</v>
      </c>
      <c r="P115" s="2">
        <f t="shared" si="6"/>
        <v>5.3368075661069249E-2</v>
      </c>
      <c r="Q115" s="2">
        <f t="shared" si="7"/>
        <v>7.2463768115942032E-2</v>
      </c>
      <c r="R115" t="str">
        <f t="shared" si="8"/>
        <v>Partially Delivered</v>
      </c>
      <c r="S115" t="str">
        <f t="shared" si="9"/>
        <v>OK</v>
      </c>
    </row>
    <row r="116" spans="1:19" x14ac:dyDescent="0.25">
      <c r="A116" t="s">
        <v>141</v>
      </c>
      <c r="B116" t="s">
        <v>23</v>
      </c>
      <c r="C116" s="1">
        <v>45220</v>
      </c>
      <c r="D116" s="1">
        <v>45239</v>
      </c>
      <c r="E116" t="s">
        <v>39</v>
      </c>
      <c r="F116" t="s">
        <v>18</v>
      </c>
      <c r="G116">
        <v>1798</v>
      </c>
      <c r="H116" s="3">
        <v>94.8</v>
      </c>
      <c r="I116" s="3">
        <v>91.83</v>
      </c>
      <c r="K116" t="s">
        <v>15</v>
      </c>
      <c r="L116">
        <f t="shared" si="5"/>
        <v>19</v>
      </c>
      <c r="M116" s="3">
        <f>Table1[[#This Row],[Quantity]]*Table1[[#This Row],[Negotiated_Price]]</f>
        <v>165110.34</v>
      </c>
      <c r="N116" s="3">
        <f>Table1[[#This Row],[Quantity]]*Table1[[#This Row],[Unit_Price]]</f>
        <v>170450.4</v>
      </c>
      <c r="O116" s="3">
        <f>Table1[[#This Row],[ Original_Spend ]]-Table1[[#This Row],[ Total_Spend ]]</f>
        <v>5340.0599999999977</v>
      </c>
      <c r="P116" s="2">
        <f t="shared" si="6"/>
        <v>3.1329113924050619E-2</v>
      </c>
      <c r="Q116" s="2">
        <f t="shared" si="7"/>
        <v>0</v>
      </c>
      <c r="R116" t="str">
        <f t="shared" si="8"/>
        <v>Late</v>
      </c>
      <c r="S116" t="str">
        <f t="shared" si="9"/>
        <v>OK</v>
      </c>
    </row>
    <row r="117" spans="1:19" x14ac:dyDescent="0.25">
      <c r="A117" t="s">
        <v>142</v>
      </c>
      <c r="B117" t="s">
        <v>12</v>
      </c>
      <c r="C117" s="1">
        <v>45031</v>
      </c>
      <c r="D117" s="1">
        <v>45047</v>
      </c>
      <c r="E117" t="s">
        <v>21</v>
      </c>
      <c r="F117" t="s">
        <v>18</v>
      </c>
      <c r="G117">
        <v>769</v>
      </c>
      <c r="H117" s="3">
        <v>91.86</v>
      </c>
      <c r="I117" s="3">
        <v>86.55</v>
      </c>
      <c r="J117">
        <v>17</v>
      </c>
      <c r="K117" t="s">
        <v>15</v>
      </c>
      <c r="L117">
        <f t="shared" si="5"/>
        <v>16</v>
      </c>
      <c r="M117" s="3">
        <f>Table1[[#This Row],[Quantity]]*Table1[[#This Row],[Negotiated_Price]]</f>
        <v>66556.95</v>
      </c>
      <c r="N117" s="3">
        <f>Table1[[#This Row],[Quantity]]*Table1[[#This Row],[Unit_Price]]</f>
        <v>70640.34</v>
      </c>
      <c r="O117" s="3">
        <f>Table1[[#This Row],[ Original_Spend ]]-Table1[[#This Row],[ Total_Spend ]]</f>
        <v>4083.3899999999994</v>
      </c>
      <c r="P117" s="2">
        <f t="shared" si="6"/>
        <v>5.780535597648595E-2</v>
      </c>
      <c r="Q117" s="2">
        <f t="shared" si="7"/>
        <v>2.2106631989596878E-2</v>
      </c>
      <c r="R117" t="str">
        <f t="shared" si="8"/>
        <v>Late</v>
      </c>
      <c r="S117" t="str">
        <f t="shared" si="9"/>
        <v>OK</v>
      </c>
    </row>
    <row r="118" spans="1:19" x14ac:dyDescent="0.25">
      <c r="A118" t="s">
        <v>143</v>
      </c>
      <c r="B118" t="s">
        <v>12</v>
      </c>
      <c r="C118" s="1">
        <v>44708</v>
      </c>
      <c r="E118" t="s">
        <v>24</v>
      </c>
      <c r="F118" t="s">
        <v>18</v>
      </c>
      <c r="G118">
        <v>1822</v>
      </c>
      <c r="H118" s="3">
        <v>53.23</v>
      </c>
      <c r="I118" s="3">
        <v>47.49</v>
      </c>
      <c r="J118">
        <v>39</v>
      </c>
      <c r="K118" t="s">
        <v>15</v>
      </c>
      <c r="L118" t="str">
        <f t="shared" si="5"/>
        <v/>
      </c>
      <c r="M118" s="3">
        <f>Table1[[#This Row],[Quantity]]*Table1[[#This Row],[Negotiated_Price]]</f>
        <v>86526.78</v>
      </c>
      <c r="N118" s="3">
        <f>Table1[[#This Row],[Quantity]]*Table1[[#This Row],[Unit_Price]]</f>
        <v>96985.06</v>
      </c>
      <c r="O118" s="3">
        <f>Table1[[#This Row],[ Original_Spend ]]-Table1[[#This Row],[ Total_Spend ]]</f>
        <v>10458.279999999999</v>
      </c>
      <c r="P118" s="2">
        <f t="shared" si="6"/>
        <v>0.10783392823595715</v>
      </c>
      <c r="Q118" s="2">
        <f t="shared" si="7"/>
        <v>2.1405049396267837E-2</v>
      </c>
      <c r="R118" t="str">
        <f t="shared" si="8"/>
        <v>Missing Delivery Date</v>
      </c>
      <c r="S118" t="str">
        <f t="shared" si="9"/>
        <v>Missing Delivery Date</v>
      </c>
    </row>
    <row r="119" spans="1:19" x14ac:dyDescent="0.25">
      <c r="A119" t="s">
        <v>144</v>
      </c>
      <c r="B119" t="s">
        <v>17</v>
      </c>
      <c r="C119" s="1">
        <v>44833</v>
      </c>
      <c r="D119" s="1">
        <v>44847</v>
      </c>
      <c r="E119" t="s">
        <v>24</v>
      </c>
      <c r="F119" t="s">
        <v>18</v>
      </c>
      <c r="G119">
        <v>387</v>
      </c>
      <c r="H119" s="3">
        <v>49.23</v>
      </c>
      <c r="I119" s="3">
        <v>45.41</v>
      </c>
      <c r="J119">
        <v>61</v>
      </c>
      <c r="K119" t="s">
        <v>15</v>
      </c>
      <c r="L119">
        <f t="shared" si="5"/>
        <v>14</v>
      </c>
      <c r="M119" s="3">
        <f>Table1[[#This Row],[Quantity]]*Table1[[#This Row],[Negotiated_Price]]</f>
        <v>17573.669999999998</v>
      </c>
      <c r="N119" s="3">
        <f>Table1[[#This Row],[Quantity]]*Table1[[#This Row],[Unit_Price]]</f>
        <v>19052.009999999998</v>
      </c>
      <c r="O119" s="3">
        <f>Table1[[#This Row],[ Original_Spend ]]-Table1[[#This Row],[ Total_Spend ]]</f>
        <v>1478.3400000000001</v>
      </c>
      <c r="P119" s="2">
        <f t="shared" si="6"/>
        <v>7.7594962421287841E-2</v>
      </c>
      <c r="Q119" s="2">
        <f t="shared" si="7"/>
        <v>0.15762273901808785</v>
      </c>
      <c r="R119" t="str">
        <f t="shared" si="8"/>
        <v>Late</v>
      </c>
      <c r="S119" t="str">
        <f t="shared" si="9"/>
        <v>OK</v>
      </c>
    </row>
    <row r="120" spans="1:19" x14ac:dyDescent="0.25">
      <c r="A120" t="s">
        <v>145</v>
      </c>
      <c r="B120" t="s">
        <v>29</v>
      </c>
      <c r="C120" s="1">
        <v>44704</v>
      </c>
      <c r="D120" s="1">
        <v>44708</v>
      </c>
      <c r="E120" t="s">
        <v>21</v>
      </c>
      <c r="F120" t="s">
        <v>18</v>
      </c>
      <c r="G120">
        <v>928</v>
      </c>
      <c r="H120" s="3">
        <v>35.299999999999997</v>
      </c>
      <c r="I120" s="3">
        <v>32.520000000000003</v>
      </c>
      <c r="J120">
        <v>26</v>
      </c>
      <c r="K120" t="s">
        <v>15</v>
      </c>
      <c r="L120">
        <f t="shared" si="5"/>
        <v>4</v>
      </c>
      <c r="M120" s="3">
        <f>Table1[[#This Row],[Quantity]]*Table1[[#This Row],[Negotiated_Price]]</f>
        <v>30178.560000000001</v>
      </c>
      <c r="N120" s="3">
        <f>Table1[[#This Row],[Quantity]]*Table1[[#This Row],[Unit_Price]]</f>
        <v>32758.399999999998</v>
      </c>
      <c r="O120" s="3">
        <f>Table1[[#This Row],[ Original_Spend ]]-Table1[[#This Row],[ Total_Spend ]]</f>
        <v>2579.8399999999965</v>
      </c>
      <c r="P120" s="2">
        <f t="shared" si="6"/>
        <v>7.8753541076487146E-2</v>
      </c>
      <c r="Q120" s="2">
        <f t="shared" si="7"/>
        <v>2.8017241379310345E-2</v>
      </c>
      <c r="R120" t="str">
        <f t="shared" si="8"/>
        <v>On Time</v>
      </c>
      <c r="S120" t="str">
        <f t="shared" si="9"/>
        <v>OK</v>
      </c>
    </row>
    <row r="121" spans="1:19" x14ac:dyDescent="0.25">
      <c r="A121" t="s">
        <v>146</v>
      </c>
      <c r="B121" t="s">
        <v>12</v>
      </c>
      <c r="C121" s="1">
        <v>44814</v>
      </c>
      <c r="D121" s="1">
        <v>44825</v>
      </c>
      <c r="E121" t="s">
        <v>24</v>
      </c>
      <c r="F121" t="s">
        <v>33</v>
      </c>
      <c r="G121">
        <v>1126</v>
      </c>
      <c r="H121" s="3">
        <v>15.68</v>
      </c>
      <c r="I121" s="3">
        <v>14.97</v>
      </c>
      <c r="J121">
        <v>27</v>
      </c>
      <c r="K121" t="s">
        <v>15</v>
      </c>
      <c r="L121">
        <f t="shared" si="5"/>
        <v>11</v>
      </c>
      <c r="M121" s="3">
        <f>Table1[[#This Row],[Quantity]]*Table1[[#This Row],[Negotiated_Price]]</f>
        <v>16856.22</v>
      </c>
      <c r="N121" s="3">
        <f>Table1[[#This Row],[Quantity]]*Table1[[#This Row],[Unit_Price]]</f>
        <v>17655.68</v>
      </c>
      <c r="O121" s="3">
        <f>Table1[[#This Row],[ Original_Spend ]]-Table1[[#This Row],[ Total_Spend ]]</f>
        <v>799.45999999999913</v>
      </c>
      <c r="P121" s="2">
        <f t="shared" si="6"/>
        <v>4.5280612244897912E-2</v>
      </c>
      <c r="Q121" s="2">
        <f t="shared" si="7"/>
        <v>2.3978685612788632E-2</v>
      </c>
      <c r="R121" t="str">
        <f t="shared" si="8"/>
        <v>Partially Delivered</v>
      </c>
      <c r="S121" t="str">
        <f t="shared" si="9"/>
        <v>Status-Date Conflict</v>
      </c>
    </row>
    <row r="122" spans="1:19" x14ac:dyDescent="0.25">
      <c r="A122" t="s">
        <v>147</v>
      </c>
      <c r="B122" t="s">
        <v>23</v>
      </c>
      <c r="C122" s="1">
        <v>45136</v>
      </c>
      <c r="D122" s="1">
        <v>45152</v>
      </c>
      <c r="E122" t="s">
        <v>26</v>
      </c>
      <c r="F122" t="s">
        <v>14</v>
      </c>
      <c r="G122">
        <v>841</v>
      </c>
      <c r="H122" s="3">
        <v>95.73</v>
      </c>
      <c r="I122" s="3">
        <v>85.33</v>
      </c>
      <c r="J122">
        <v>81</v>
      </c>
      <c r="K122" t="s">
        <v>15</v>
      </c>
      <c r="L122">
        <f t="shared" si="5"/>
        <v>16</v>
      </c>
      <c r="M122" s="3">
        <f>Table1[[#This Row],[Quantity]]*Table1[[#This Row],[Negotiated_Price]]</f>
        <v>71762.53</v>
      </c>
      <c r="N122" s="3">
        <f>Table1[[#This Row],[Quantity]]*Table1[[#This Row],[Unit_Price]]</f>
        <v>80508.930000000008</v>
      </c>
      <c r="O122" s="3">
        <f>Table1[[#This Row],[ Original_Spend ]]-Table1[[#This Row],[ Total_Spend ]]</f>
        <v>8746.4000000000087</v>
      </c>
      <c r="P122" s="2">
        <f t="shared" si="6"/>
        <v>0.10863888018385051</v>
      </c>
      <c r="Q122" s="2">
        <f t="shared" si="7"/>
        <v>9.631391200951249E-2</v>
      </c>
      <c r="R122" t="str">
        <f t="shared" si="8"/>
        <v>Cancelled</v>
      </c>
      <c r="S122" t="str">
        <f t="shared" si="9"/>
        <v>Status-Date Conflict</v>
      </c>
    </row>
    <row r="123" spans="1:19" x14ac:dyDescent="0.25">
      <c r="A123" t="s">
        <v>148</v>
      </c>
      <c r="B123" t="s">
        <v>23</v>
      </c>
      <c r="C123" s="1">
        <v>45113</v>
      </c>
      <c r="D123" s="1">
        <v>45126</v>
      </c>
      <c r="E123" t="s">
        <v>39</v>
      </c>
      <c r="F123" t="s">
        <v>18</v>
      </c>
      <c r="G123">
        <v>1995</v>
      </c>
      <c r="H123" s="3">
        <v>90.65</v>
      </c>
      <c r="I123" s="3">
        <v>77.75</v>
      </c>
      <c r="J123">
        <v>206</v>
      </c>
      <c r="K123" t="s">
        <v>15</v>
      </c>
      <c r="L123">
        <f t="shared" si="5"/>
        <v>13</v>
      </c>
      <c r="M123" s="3">
        <f>Table1[[#This Row],[Quantity]]*Table1[[#This Row],[Negotiated_Price]]</f>
        <v>155111.25</v>
      </c>
      <c r="N123" s="3">
        <f>Table1[[#This Row],[Quantity]]*Table1[[#This Row],[Unit_Price]]</f>
        <v>180846.75</v>
      </c>
      <c r="O123" s="3">
        <f>Table1[[#This Row],[ Original_Spend ]]-Table1[[#This Row],[ Total_Spend ]]</f>
        <v>25735.5</v>
      </c>
      <c r="P123" s="2">
        <f t="shared" si="6"/>
        <v>0.14230557087699944</v>
      </c>
      <c r="Q123" s="2">
        <f t="shared" si="7"/>
        <v>0.10325814536340852</v>
      </c>
      <c r="R123" t="str">
        <f t="shared" si="8"/>
        <v>Late</v>
      </c>
      <c r="S123" t="str">
        <f t="shared" si="9"/>
        <v>OK</v>
      </c>
    </row>
    <row r="124" spans="1:19" x14ac:dyDescent="0.25">
      <c r="A124" t="s">
        <v>149</v>
      </c>
      <c r="B124" t="s">
        <v>12</v>
      </c>
      <c r="C124" s="1">
        <v>44831</v>
      </c>
      <c r="D124" s="1">
        <v>44849</v>
      </c>
      <c r="E124" t="s">
        <v>26</v>
      </c>
      <c r="F124" t="s">
        <v>18</v>
      </c>
      <c r="G124">
        <v>266</v>
      </c>
      <c r="H124" s="3">
        <v>103.97</v>
      </c>
      <c r="I124" s="3">
        <v>101.44</v>
      </c>
      <c r="J124">
        <v>6</v>
      </c>
      <c r="K124" t="s">
        <v>15</v>
      </c>
      <c r="L124">
        <f t="shared" si="5"/>
        <v>18</v>
      </c>
      <c r="M124" s="3">
        <f>Table1[[#This Row],[Quantity]]*Table1[[#This Row],[Negotiated_Price]]</f>
        <v>26983.040000000001</v>
      </c>
      <c r="N124" s="3">
        <f>Table1[[#This Row],[Quantity]]*Table1[[#This Row],[Unit_Price]]</f>
        <v>27656.02</v>
      </c>
      <c r="O124" s="3">
        <f>Table1[[#This Row],[ Original_Spend ]]-Table1[[#This Row],[ Total_Spend ]]</f>
        <v>672.97999999999956</v>
      </c>
      <c r="P124" s="2">
        <f t="shared" si="6"/>
        <v>2.4333942483408661E-2</v>
      </c>
      <c r="Q124" s="2">
        <f t="shared" si="7"/>
        <v>2.2556390977443608E-2</v>
      </c>
      <c r="R124" t="str">
        <f t="shared" si="8"/>
        <v>Late</v>
      </c>
      <c r="S124" t="str">
        <f t="shared" si="9"/>
        <v>OK</v>
      </c>
    </row>
    <row r="125" spans="1:19" x14ac:dyDescent="0.25">
      <c r="A125" t="s">
        <v>150</v>
      </c>
      <c r="B125" t="s">
        <v>12</v>
      </c>
      <c r="C125" s="1">
        <v>45160</v>
      </c>
      <c r="D125" s="1">
        <v>45163</v>
      </c>
      <c r="E125" t="s">
        <v>26</v>
      </c>
      <c r="F125" t="s">
        <v>14</v>
      </c>
      <c r="G125">
        <v>813</v>
      </c>
      <c r="H125" s="3">
        <v>109.17</v>
      </c>
      <c r="I125" s="3">
        <v>107.39</v>
      </c>
      <c r="J125">
        <v>14</v>
      </c>
      <c r="K125" t="s">
        <v>15</v>
      </c>
      <c r="L125">
        <f t="shared" si="5"/>
        <v>3</v>
      </c>
      <c r="M125" s="3">
        <f>Table1[[#This Row],[Quantity]]*Table1[[#This Row],[Negotiated_Price]]</f>
        <v>87308.07</v>
      </c>
      <c r="N125" s="3">
        <f>Table1[[#This Row],[Quantity]]*Table1[[#This Row],[Unit_Price]]</f>
        <v>88755.21</v>
      </c>
      <c r="O125" s="3">
        <f>Table1[[#This Row],[ Original_Spend ]]-Table1[[#This Row],[ Total_Spend ]]</f>
        <v>1447.1399999999994</v>
      </c>
      <c r="P125" s="2">
        <f t="shared" si="6"/>
        <v>1.6304845653567823E-2</v>
      </c>
      <c r="Q125" s="2">
        <f t="shared" si="7"/>
        <v>1.7220172201722016E-2</v>
      </c>
      <c r="R125" t="str">
        <f t="shared" si="8"/>
        <v>Cancelled</v>
      </c>
      <c r="S125" t="str">
        <f t="shared" si="9"/>
        <v>Status-Date Conflict</v>
      </c>
    </row>
    <row r="126" spans="1:19" x14ac:dyDescent="0.25">
      <c r="A126" t="s">
        <v>151</v>
      </c>
      <c r="B126" t="s">
        <v>29</v>
      </c>
      <c r="C126" s="1">
        <v>45000</v>
      </c>
      <c r="D126" s="1">
        <v>45011</v>
      </c>
      <c r="E126" t="s">
        <v>39</v>
      </c>
      <c r="F126" t="s">
        <v>18</v>
      </c>
      <c r="G126">
        <v>237</v>
      </c>
      <c r="H126" s="3">
        <v>64.19</v>
      </c>
      <c r="I126" s="3">
        <v>59.01</v>
      </c>
      <c r="J126">
        <v>7</v>
      </c>
      <c r="K126" t="s">
        <v>15</v>
      </c>
      <c r="L126">
        <f t="shared" si="5"/>
        <v>11</v>
      </c>
      <c r="M126" s="3">
        <f>Table1[[#This Row],[Quantity]]*Table1[[#This Row],[Negotiated_Price]]</f>
        <v>13985.369999999999</v>
      </c>
      <c r="N126" s="3">
        <f>Table1[[#This Row],[Quantity]]*Table1[[#This Row],[Unit_Price]]</f>
        <v>15213.029999999999</v>
      </c>
      <c r="O126" s="3">
        <f>Table1[[#This Row],[ Original_Spend ]]-Table1[[#This Row],[ Total_Spend ]]</f>
        <v>1227.6599999999999</v>
      </c>
      <c r="P126" s="2">
        <f t="shared" si="6"/>
        <v>8.0697928026172303E-2</v>
      </c>
      <c r="Q126" s="2">
        <f t="shared" si="7"/>
        <v>2.9535864978902954E-2</v>
      </c>
      <c r="R126" t="str">
        <f t="shared" si="8"/>
        <v>Late</v>
      </c>
      <c r="S126" t="str">
        <f t="shared" si="9"/>
        <v>OK</v>
      </c>
    </row>
    <row r="127" spans="1:19" x14ac:dyDescent="0.25">
      <c r="A127" t="s">
        <v>152</v>
      </c>
      <c r="B127" t="s">
        <v>12</v>
      </c>
      <c r="C127" s="1">
        <v>45159</v>
      </c>
      <c r="D127" s="1">
        <v>45172</v>
      </c>
      <c r="E127" t="s">
        <v>13</v>
      </c>
      <c r="F127" t="s">
        <v>14</v>
      </c>
      <c r="G127">
        <v>429</v>
      </c>
      <c r="H127" s="3">
        <v>86.73</v>
      </c>
      <c r="I127" s="3">
        <v>75.09</v>
      </c>
      <c r="J127">
        <v>9</v>
      </c>
      <c r="K127" t="s">
        <v>15</v>
      </c>
      <c r="L127">
        <f t="shared" si="5"/>
        <v>13</v>
      </c>
      <c r="M127" s="3">
        <f>Table1[[#This Row],[Quantity]]*Table1[[#This Row],[Negotiated_Price]]</f>
        <v>32213.61</v>
      </c>
      <c r="N127" s="3">
        <f>Table1[[#This Row],[Quantity]]*Table1[[#This Row],[Unit_Price]]</f>
        <v>37207.17</v>
      </c>
      <c r="O127" s="3">
        <f>Table1[[#This Row],[ Original_Spend ]]-Table1[[#This Row],[ Total_Spend ]]</f>
        <v>4993.5599999999977</v>
      </c>
      <c r="P127" s="2">
        <f t="shared" si="6"/>
        <v>0.13420961604980969</v>
      </c>
      <c r="Q127" s="2">
        <f t="shared" si="7"/>
        <v>2.097902097902098E-2</v>
      </c>
      <c r="R127" t="str">
        <f t="shared" si="8"/>
        <v>Cancelled</v>
      </c>
      <c r="S127" t="str">
        <f t="shared" si="9"/>
        <v>Status-Date Conflict</v>
      </c>
    </row>
    <row r="128" spans="1:19" x14ac:dyDescent="0.25">
      <c r="A128" t="s">
        <v>153</v>
      </c>
      <c r="B128" t="s">
        <v>17</v>
      </c>
      <c r="C128" s="1">
        <v>44970</v>
      </c>
      <c r="D128" s="1">
        <v>44971</v>
      </c>
      <c r="E128" t="s">
        <v>24</v>
      </c>
      <c r="F128" t="s">
        <v>18</v>
      </c>
      <c r="G128">
        <v>542</v>
      </c>
      <c r="H128" s="3">
        <v>101.21</v>
      </c>
      <c r="I128" s="3">
        <v>93.11</v>
      </c>
      <c r="J128">
        <v>78</v>
      </c>
      <c r="K128" t="s">
        <v>27</v>
      </c>
      <c r="L128">
        <f t="shared" si="5"/>
        <v>1</v>
      </c>
      <c r="M128" s="3">
        <f>Table1[[#This Row],[Quantity]]*Table1[[#This Row],[Negotiated_Price]]</f>
        <v>50465.62</v>
      </c>
      <c r="N128" s="3">
        <f>Table1[[#This Row],[Quantity]]*Table1[[#This Row],[Unit_Price]]</f>
        <v>54855.82</v>
      </c>
      <c r="O128" s="3">
        <f>Table1[[#This Row],[ Original_Spend ]]-Table1[[#This Row],[ Total_Spend ]]</f>
        <v>4390.1999999999971</v>
      </c>
      <c r="P128" s="2">
        <f t="shared" si="6"/>
        <v>8.0031617429107749E-2</v>
      </c>
      <c r="Q128" s="2">
        <f t="shared" si="7"/>
        <v>0.14391143911439114</v>
      </c>
      <c r="R128" t="str">
        <f t="shared" si="8"/>
        <v>On Time</v>
      </c>
      <c r="S128" t="str">
        <f t="shared" si="9"/>
        <v>OK</v>
      </c>
    </row>
    <row r="129" spans="1:19" x14ac:dyDescent="0.25">
      <c r="A129" t="s">
        <v>154</v>
      </c>
      <c r="B129" t="s">
        <v>29</v>
      </c>
      <c r="C129" s="1">
        <v>44932</v>
      </c>
      <c r="D129" s="1">
        <v>44950</v>
      </c>
      <c r="E129" t="s">
        <v>39</v>
      </c>
      <c r="F129" t="s">
        <v>18</v>
      </c>
      <c r="G129">
        <v>1114</v>
      </c>
      <c r="H129" s="3">
        <v>91.66</v>
      </c>
      <c r="I129" s="3">
        <v>85.53</v>
      </c>
      <c r="J129">
        <v>35</v>
      </c>
      <c r="K129" t="s">
        <v>15</v>
      </c>
      <c r="L129">
        <f t="shared" si="5"/>
        <v>18</v>
      </c>
      <c r="M129" s="3">
        <f>Table1[[#This Row],[Quantity]]*Table1[[#This Row],[Negotiated_Price]]</f>
        <v>95280.42</v>
      </c>
      <c r="N129" s="3">
        <f>Table1[[#This Row],[Quantity]]*Table1[[#This Row],[Unit_Price]]</f>
        <v>102109.23999999999</v>
      </c>
      <c r="O129" s="3">
        <f>Table1[[#This Row],[ Original_Spend ]]-Table1[[#This Row],[ Total_Spend ]]</f>
        <v>6828.8199999999924</v>
      </c>
      <c r="P129" s="2">
        <f t="shared" si="6"/>
        <v>6.68775910975343E-2</v>
      </c>
      <c r="Q129" s="2">
        <f t="shared" si="7"/>
        <v>3.141831238779174E-2</v>
      </c>
      <c r="R129" t="str">
        <f t="shared" si="8"/>
        <v>Late</v>
      </c>
      <c r="S129" t="str">
        <f t="shared" si="9"/>
        <v>OK</v>
      </c>
    </row>
    <row r="130" spans="1:19" x14ac:dyDescent="0.25">
      <c r="A130" t="s">
        <v>155</v>
      </c>
      <c r="B130" t="s">
        <v>12</v>
      </c>
      <c r="C130" s="1">
        <v>44786</v>
      </c>
      <c r="D130" s="1">
        <v>44788</v>
      </c>
      <c r="E130" t="s">
        <v>21</v>
      </c>
      <c r="F130" t="s">
        <v>18</v>
      </c>
      <c r="G130">
        <v>1230</v>
      </c>
      <c r="H130" s="3">
        <v>33.39</v>
      </c>
      <c r="I130" s="3">
        <v>30.85</v>
      </c>
      <c r="J130">
        <v>26</v>
      </c>
      <c r="K130" t="s">
        <v>15</v>
      </c>
      <c r="L130">
        <f t="shared" ref="L130:L193" si="10">IF(OR(C130="",D130=""),"",D130-C130)</f>
        <v>2</v>
      </c>
      <c r="M130" s="3">
        <f>Table1[[#This Row],[Quantity]]*Table1[[#This Row],[Negotiated_Price]]</f>
        <v>37945.5</v>
      </c>
      <c r="N130" s="3">
        <f>Table1[[#This Row],[Quantity]]*Table1[[#This Row],[Unit_Price]]</f>
        <v>41069.699999999997</v>
      </c>
      <c r="O130" s="3">
        <f>Table1[[#This Row],[ Original_Spend ]]-Table1[[#This Row],[ Total_Spend ]]</f>
        <v>3124.1999999999971</v>
      </c>
      <c r="P130" s="2">
        <f t="shared" ref="P130:P193" si="11">IFERROR(O130/N130,0)</f>
        <v>7.6070679844264688E-2</v>
      </c>
      <c r="Q130" s="2">
        <f t="shared" ref="Q130:Q193" si="12">IFERROR(J130/G130,0)</f>
        <v>2.113821138211382E-2</v>
      </c>
      <c r="R130" t="str">
        <f t="shared" si="8"/>
        <v>On Time</v>
      </c>
      <c r="S130" t="str">
        <f t="shared" si="9"/>
        <v>OK</v>
      </c>
    </row>
    <row r="131" spans="1:19" x14ac:dyDescent="0.25">
      <c r="A131" t="s">
        <v>156</v>
      </c>
      <c r="B131" t="s">
        <v>23</v>
      </c>
      <c r="C131" s="1">
        <v>44703</v>
      </c>
      <c r="D131" s="1">
        <v>44715</v>
      </c>
      <c r="E131" t="s">
        <v>21</v>
      </c>
      <c r="F131" t="s">
        <v>18</v>
      </c>
      <c r="G131">
        <v>64</v>
      </c>
      <c r="H131" s="3">
        <v>51.56</v>
      </c>
      <c r="I131" s="3">
        <v>50.88</v>
      </c>
      <c r="J131">
        <v>5</v>
      </c>
      <c r="K131" t="s">
        <v>15</v>
      </c>
      <c r="L131">
        <f t="shared" si="10"/>
        <v>12</v>
      </c>
      <c r="M131" s="3">
        <f>Table1[[#This Row],[Quantity]]*Table1[[#This Row],[Negotiated_Price]]</f>
        <v>3256.32</v>
      </c>
      <c r="N131" s="3">
        <f>Table1[[#This Row],[Quantity]]*Table1[[#This Row],[Unit_Price]]</f>
        <v>3299.84</v>
      </c>
      <c r="O131" s="3">
        <f>Table1[[#This Row],[ Original_Spend ]]-Table1[[#This Row],[ Total_Spend ]]</f>
        <v>43.519999999999982</v>
      </c>
      <c r="P131" s="2">
        <f t="shared" si="11"/>
        <v>1.318851823118696E-2</v>
      </c>
      <c r="Q131" s="2">
        <f t="shared" si="12"/>
        <v>7.8125E-2</v>
      </c>
      <c r="R131" t="str">
        <f t="shared" ref="R131:R194" si="13">IF(F131&lt;&gt;"Delivered",F131,IF(D131="","Missing Delivery Date",IF(L131&lt;=10,"On Time","Late")))</f>
        <v>Late</v>
      </c>
      <c r="S131" t="str">
        <f t="shared" ref="S131:S194" si="14">IF(AND(F131&lt;&gt;"Delivered",D131&lt;&gt;""),"Status-Date Conflict",IF(AND(F131="Delivered",D131=""),"Missing Delivery Date","OK"))</f>
        <v>OK</v>
      </c>
    </row>
    <row r="132" spans="1:19" x14ac:dyDescent="0.25">
      <c r="A132" t="s">
        <v>157</v>
      </c>
      <c r="B132" t="s">
        <v>12</v>
      </c>
      <c r="C132" s="1">
        <v>45083</v>
      </c>
      <c r="D132" s="1">
        <v>45099</v>
      </c>
      <c r="E132" t="s">
        <v>21</v>
      </c>
      <c r="F132" t="s">
        <v>18</v>
      </c>
      <c r="G132">
        <v>1886</v>
      </c>
      <c r="H132" s="3">
        <v>23.46</v>
      </c>
      <c r="I132" s="3">
        <v>23.18</v>
      </c>
      <c r="K132" t="s">
        <v>15</v>
      </c>
      <c r="L132">
        <f t="shared" si="10"/>
        <v>16</v>
      </c>
      <c r="M132" s="3">
        <f>Table1[[#This Row],[Quantity]]*Table1[[#This Row],[Negotiated_Price]]</f>
        <v>43717.479999999996</v>
      </c>
      <c r="N132" s="3">
        <f>Table1[[#This Row],[Quantity]]*Table1[[#This Row],[Unit_Price]]</f>
        <v>44245.560000000005</v>
      </c>
      <c r="O132" s="3">
        <f>Table1[[#This Row],[ Original_Spend ]]-Table1[[#This Row],[ Total_Spend ]]</f>
        <v>528.08000000000902</v>
      </c>
      <c r="P132" s="2">
        <f t="shared" si="11"/>
        <v>1.193520886615536E-2</v>
      </c>
      <c r="Q132" s="2">
        <f t="shared" si="12"/>
        <v>0</v>
      </c>
      <c r="R132" t="str">
        <f t="shared" si="13"/>
        <v>Late</v>
      </c>
      <c r="S132" t="str">
        <f t="shared" si="14"/>
        <v>OK</v>
      </c>
    </row>
    <row r="133" spans="1:19" x14ac:dyDescent="0.25">
      <c r="A133" t="s">
        <v>158</v>
      </c>
      <c r="B133" t="s">
        <v>17</v>
      </c>
      <c r="C133" s="1">
        <v>45067</v>
      </c>
      <c r="D133" s="1">
        <v>45069</v>
      </c>
      <c r="E133" t="s">
        <v>13</v>
      </c>
      <c r="F133" t="s">
        <v>18</v>
      </c>
      <c r="G133">
        <v>114</v>
      </c>
      <c r="H133" s="3">
        <v>103.53</v>
      </c>
      <c r="I133" s="3">
        <v>101.54</v>
      </c>
      <c r="J133">
        <v>14</v>
      </c>
      <c r="K133" t="s">
        <v>15</v>
      </c>
      <c r="L133">
        <f t="shared" si="10"/>
        <v>2</v>
      </c>
      <c r="M133" s="3">
        <f>Table1[[#This Row],[Quantity]]*Table1[[#This Row],[Negotiated_Price]]</f>
        <v>11575.560000000001</v>
      </c>
      <c r="N133" s="3">
        <f>Table1[[#This Row],[Quantity]]*Table1[[#This Row],[Unit_Price]]</f>
        <v>11802.42</v>
      </c>
      <c r="O133" s="3">
        <f>Table1[[#This Row],[ Original_Spend ]]-Table1[[#This Row],[ Total_Spend ]]</f>
        <v>226.85999999999876</v>
      </c>
      <c r="P133" s="2">
        <f t="shared" si="11"/>
        <v>1.922148169612662E-2</v>
      </c>
      <c r="Q133" s="2">
        <f t="shared" si="12"/>
        <v>0.12280701754385964</v>
      </c>
      <c r="R133" t="str">
        <f t="shared" si="13"/>
        <v>On Time</v>
      </c>
      <c r="S133" t="str">
        <f t="shared" si="14"/>
        <v>OK</v>
      </c>
    </row>
    <row r="134" spans="1:19" x14ac:dyDescent="0.25">
      <c r="A134" t="s">
        <v>159</v>
      </c>
      <c r="B134" t="s">
        <v>17</v>
      </c>
      <c r="C134" s="1">
        <v>44655</v>
      </c>
      <c r="D134" s="1">
        <v>44673</v>
      </c>
      <c r="E134" t="s">
        <v>39</v>
      </c>
      <c r="F134" t="s">
        <v>14</v>
      </c>
      <c r="G134">
        <v>1930</v>
      </c>
      <c r="H134" s="3">
        <v>65.52</v>
      </c>
      <c r="I134" s="3">
        <v>56.9</v>
      </c>
      <c r="J134">
        <v>282</v>
      </c>
      <c r="K134" t="s">
        <v>15</v>
      </c>
      <c r="L134">
        <f t="shared" si="10"/>
        <v>18</v>
      </c>
      <c r="M134" s="3">
        <f>Table1[[#This Row],[Quantity]]*Table1[[#This Row],[Negotiated_Price]]</f>
        <v>109817</v>
      </c>
      <c r="N134" s="3">
        <f>Table1[[#This Row],[Quantity]]*Table1[[#This Row],[Unit_Price]]</f>
        <v>126453.59999999999</v>
      </c>
      <c r="O134" s="3">
        <f>Table1[[#This Row],[ Original_Spend ]]-Table1[[#This Row],[ Total_Spend ]]</f>
        <v>16636.599999999991</v>
      </c>
      <c r="P134" s="2">
        <f t="shared" si="11"/>
        <v>0.13156288156288151</v>
      </c>
      <c r="Q134" s="2">
        <f t="shared" si="12"/>
        <v>0.14611398963730571</v>
      </c>
      <c r="R134" t="str">
        <f t="shared" si="13"/>
        <v>Cancelled</v>
      </c>
      <c r="S134" t="str">
        <f t="shared" si="14"/>
        <v>Status-Date Conflict</v>
      </c>
    </row>
    <row r="135" spans="1:19" x14ac:dyDescent="0.25">
      <c r="A135" t="s">
        <v>160</v>
      </c>
      <c r="B135" t="s">
        <v>23</v>
      </c>
      <c r="C135" s="1">
        <v>44610</v>
      </c>
      <c r="D135" s="1">
        <v>44620</v>
      </c>
      <c r="E135" t="s">
        <v>13</v>
      </c>
      <c r="F135" t="s">
        <v>35</v>
      </c>
      <c r="G135">
        <v>1912</v>
      </c>
      <c r="H135" s="3">
        <v>30.73</v>
      </c>
      <c r="I135" s="3">
        <v>29.82</v>
      </c>
      <c r="J135">
        <v>191</v>
      </c>
      <c r="K135" t="s">
        <v>15</v>
      </c>
      <c r="L135">
        <f t="shared" si="10"/>
        <v>10</v>
      </c>
      <c r="M135" s="3">
        <f>Table1[[#This Row],[Quantity]]*Table1[[#This Row],[Negotiated_Price]]</f>
        <v>57015.840000000004</v>
      </c>
      <c r="N135" s="3">
        <f>Table1[[#This Row],[Quantity]]*Table1[[#This Row],[Unit_Price]]</f>
        <v>58755.76</v>
      </c>
      <c r="O135" s="3">
        <f>Table1[[#This Row],[ Original_Spend ]]-Table1[[#This Row],[ Total_Spend ]]</f>
        <v>1739.9199999999983</v>
      </c>
      <c r="P135" s="2">
        <f t="shared" si="11"/>
        <v>2.9612756264236872E-2</v>
      </c>
      <c r="Q135" s="2">
        <f t="shared" si="12"/>
        <v>9.9895397489539753E-2</v>
      </c>
      <c r="R135" t="str">
        <f t="shared" si="13"/>
        <v>Pending</v>
      </c>
      <c r="S135" t="str">
        <f t="shared" si="14"/>
        <v>Status-Date Conflict</v>
      </c>
    </row>
    <row r="136" spans="1:19" x14ac:dyDescent="0.25">
      <c r="A136" t="s">
        <v>161</v>
      </c>
      <c r="B136" t="s">
        <v>29</v>
      </c>
      <c r="C136" s="1">
        <v>44674</v>
      </c>
      <c r="D136" s="1">
        <v>44690</v>
      </c>
      <c r="E136" t="s">
        <v>21</v>
      </c>
      <c r="F136" t="s">
        <v>18</v>
      </c>
      <c r="G136">
        <v>570</v>
      </c>
      <c r="H136" s="3">
        <v>71.510000000000005</v>
      </c>
      <c r="I136" s="3">
        <v>66.47</v>
      </c>
      <c r="K136" t="s">
        <v>15</v>
      </c>
      <c r="L136">
        <f t="shared" si="10"/>
        <v>16</v>
      </c>
      <c r="M136" s="3">
        <f>Table1[[#This Row],[Quantity]]*Table1[[#This Row],[Negotiated_Price]]</f>
        <v>37887.9</v>
      </c>
      <c r="N136" s="3">
        <f>Table1[[#This Row],[Quantity]]*Table1[[#This Row],[Unit_Price]]</f>
        <v>40760.700000000004</v>
      </c>
      <c r="O136" s="3">
        <f>Table1[[#This Row],[ Original_Spend ]]-Table1[[#This Row],[ Total_Spend ]]</f>
        <v>2872.8000000000029</v>
      </c>
      <c r="P136" s="2">
        <f t="shared" si="11"/>
        <v>7.0479653195357359E-2</v>
      </c>
      <c r="Q136" s="2">
        <f t="shared" si="12"/>
        <v>0</v>
      </c>
      <c r="R136" t="str">
        <f t="shared" si="13"/>
        <v>Late</v>
      </c>
      <c r="S136" t="str">
        <f t="shared" si="14"/>
        <v>OK</v>
      </c>
    </row>
    <row r="137" spans="1:19" x14ac:dyDescent="0.25">
      <c r="A137" t="s">
        <v>162</v>
      </c>
      <c r="B137" t="s">
        <v>23</v>
      </c>
      <c r="C137" s="1">
        <v>44718</v>
      </c>
      <c r="D137" s="1">
        <v>44738</v>
      </c>
      <c r="E137" t="s">
        <v>26</v>
      </c>
      <c r="F137" t="s">
        <v>18</v>
      </c>
      <c r="G137">
        <v>1417</v>
      </c>
      <c r="H137" s="3">
        <v>67.27</v>
      </c>
      <c r="I137" s="3">
        <v>60.62</v>
      </c>
      <c r="K137" t="s">
        <v>15</v>
      </c>
      <c r="L137">
        <f t="shared" si="10"/>
        <v>20</v>
      </c>
      <c r="M137" s="3">
        <f>Table1[[#This Row],[Quantity]]*Table1[[#This Row],[Negotiated_Price]]</f>
        <v>85898.54</v>
      </c>
      <c r="N137" s="3">
        <f>Table1[[#This Row],[Quantity]]*Table1[[#This Row],[Unit_Price]]</f>
        <v>95321.59</v>
      </c>
      <c r="O137" s="3">
        <f>Table1[[#This Row],[ Original_Spend ]]-Table1[[#This Row],[ Total_Spend ]]</f>
        <v>9423.0500000000029</v>
      </c>
      <c r="P137" s="2">
        <f t="shared" si="11"/>
        <v>9.8855359001040616E-2</v>
      </c>
      <c r="Q137" s="2">
        <f t="shared" si="12"/>
        <v>0</v>
      </c>
      <c r="R137" t="str">
        <f t="shared" si="13"/>
        <v>Late</v>
      </c>
      <c r="S137" t="str">
        <f t="shared" si="14"/>
        <v>OK</v>
      </c>
    </row>
    <row r="138" spans="1:19" x14ac:dyDescent="0.25">
      <c r="A138" t="s">
        <v>163</v>
      </c>
      <c r="B138" t="s">
        <v>12</v>
      </c>
      <c r="C138" s="1">
        <v>45204</v>
      </c>
      <c r="D138" s="1">
        <v>45210</v>
      </c>
      <c r="E138" t="s">
        <v>26</v>
      </c>
      <c r="F138" t="s">
        <v>18</v>
      </c>
      <c r="G138">
        <v>1202</v>
      </c>
      <c r="H138" s="3">
        <v>46.67</v>
      </c>
      <c r="I138" s="3">
        <v>44.13</v>
      </c>
      <c r="J138">
        <v>21</v>
      </c>
      <c r="K138" t="s">
        <v>27</v>
      </c>
      <c r="L138">
        <f t="shared" si="10"/>
        <v>6</v>
      </c>
      <c r="M138" s="3">
        <f>Table1[[#This Row],[Quantity]]*Table1[[#This Row],[Negotiated_Price]]</f>
        <v>53044.26</v>
      </c>
      <c r="N138" s="3">
        <f>Table1[[#This Row],[Quantity]]*Table1[[#This Row],[Unit_Price]]</f>
        <v>56097.340000000004</v>
      </c>
      <c r="O138" s="3">
        <f>Table1[[#This Row],[ Original_Spend ]]-Table1[[#This Row],[ Total_Spend ]]</f>
        <v>3053.0800000000017</v>
      </c>
      <c r="P138" s="2">
        <f t="shared" si="11"/>
        <v>5.4424683951146371E-2</v>
      </c>
      <c r="Q138" s="2">
        <f t="shared" si="12"/>
        <v>1.747088186356073E-2</v>
      </c>
      <c r="R138" t="str">
        <f t="shared" si="13"/>
        <v>On Time</v>
      </c>
      <c r="S138" t="str">
        <f t="shared" si="14"/>
        <v>OK</v>
      </c>
    </row>
    <row r="139" spans="1:19" x14ac:dyDescent="0.25">
      <c r="A139" t="s">
        <v>164</v>
      </c>
      <c r="B139" t="s">
        <v>23</v>
      </c>
      <c r="C139" s="1">
        <v>44725</v>
      </c>
      <c r="D139" s="1">
        <v>44726</v>
      </c>
      <c r="E139" t="s">
        <v>13</v>
      </c>
      <c r="F139" t="s">
        <v>18</v>
      </c>
      <c r="G139">
        <v>697</v>
      </c>
      <c r="H139" s="3">
        <v>20.73</v>
      </c>
      <c r="I139" s="3">
        <v>19.829999999999998</v>
      </c>
      <c r="J139">
        <v>78</v>
      </c>
      <c r="K139" t="s">
        <v>27</v>
      </c>
      <c r="L139">
        <f t="shared" si="10"/>
        <v>1</v>
      </c>
      <c r="M139" s="3">
        <f>Table1[[#This Row],[Quantity]]*Table1[[#This Row],[Negotiated_Price]]</f>
        <v>13821.509999999998</v>
      </c>
      <c r="N139" s="3">
        <f>Table1[[#This Row],[Quantity]]*Table1[[#This Row],[Unit_Price]]</f>
        <v>14448.81</v>
      </c>
      <c r="O139" s="3">
        <f>Table1[[#This Row],[ Original_Spend ]]-Table1[[#This Row],[ Total_Spend ]]</f>
        <v>627.30000000000109</v>
      </c>
      <c r="P139" s="2">
        <f t="shared" si="11"/>
        <v>4.3415340086830755E-2</v>
      </c>
      <c r="Q139" s="2">
        <f t="shared" si="12"/>
        <v>0.11190817790530846</v>
      </c>
      <c r="R139" t="str">
        <f t="shared" si="13"/>
        <v>On Time</v>
      </c>
      <c r="S139" t="str">
        <f t="shared" si="14"/>
        <v>OK</v>
      </c>
    </row>
    <row r="140" spans="1:19" x14ac:dyDescent="0.25">
      <c r="A140" t="s">
        <v>165</v>
      </c>
      <c r="B140" t="s">
        <v>29</v>
      </c>
      <c r="C140" s="1">
        <v>45258</v>
      </c>
      <c r="D140" s="1">
        <v>45261</v>
      </c>
      <c r="E140" t="s">
        <v>21</v>
      </c>
      <c r="F140" t="s">
        <v>18</v>
      </c>
      <c r="G140">
        <v>1545</v>
      </c>
      <c r="H140" s="3">
        <v>78.19</v>
      </c>
      <c r="I140" s="3">
        <v>76.91</v>
      </c>
      <c r="J140">
        <v>42</v>
      </c>
      <c r="K140" t="s">
        <v>15</v>
      </c>
      <c r="L140">
        <f t="shared" si="10"/>
        <v>3</v>
      </c>
      <c r="M140" s="3">
        <f>Table1[[#This Row],[Quantity]]*Table1[[#This Row],[Negotiated_Price]]</f>
        <v>118825.95</v>
      </c>
      <c r="N140" s="3">
        <f>Table1[[#This Row],[Quantity]]*Table1[[#This Row],[Unit_Price]]</f>
        <v>120803.55</v>
      </c>
      <c r="O140" s="3">
        <f>Table1[[#This Row],[ Original_Spend ]]-Table1[[#This Row],[ Total_Spend ]]</f>
        <v>1977.6000000000058</v>
      </c>
      <c r="P140" s="2">
        <f t="shared" si="11"/>
        <v>1.6370379843969864E-2</v>
      </c>
      <c r="Q140" s="2">
        <f t="shared" si="12"/>
        <v>2.7184466019417475E-2</v>
      </c>
      <c r="R140" t="str">
        <f t="shared" si="13"/>
        <v>On Time</v>
      </c>
      <c r="S140" t="str">
        <f t="shared" si="14"/>
        <v>OK</v>
      </c>
    </row>
    <row r="141" spans="1:19" x14ac:dyDescent="0.25">
      <c r="A141" t="s">
        <v>166</v>
      </c>
      <c r="B141" t="s">
        <v>20</v>
      </c>
      <c r="C141" s="1">
        <v>44994</v>
      </c>
      <c r="D141" s="1">
        <v>44998</v>
      </c>
      <c r="E141" t="s">
        <v>21</v>
      </c>
      <c r="F141" t="s">
        <v>33</v>
      </c>
      <c r="G141">
        <v>1136</v>
      </c>
      <c r="H141" s="3">
        <v>60.81</v>
      </c>
      <c r="I141" s="3">
        <v>58.25</v>
      </c>
      <c r="J141">
        <v>62</v>
      </c>
      <c r="K141" t="s">
        <v>15</v>
      </c>
      <c r="L141">
        <f t="shared" si="10"/>
        <v>4</v>
      </c>
      <c r="M141" s="3">
        <f>Table1[[#This Row],[Quantity]]*Table1[[#This Row],[Negotiated_Price]]</f>
        <v>66172</v>
      </c>
      <c r="N141" s="3">
        <f>Table1[[#This Row],[Quantity]]*Table1[[#This Row],[Unit_Price]]</f>
        <v>69080.160000000003</v>
      </c>
      <c r="O141" s="3">
        <f>Table1[[#This Row],[ Original_Spend ]]-Table1[[#This Row],[ Total_Spend ]]</f>
        <v>2908.1600000000035</v>
      </c>
      <c r="P141" s="2">
        <f t="shared" si="11"/>
        <v>4.2098339088965681E-2</v>
      </c>
      <c r="Q141" s="2">
        <f t="shared" si="12"/>
        <v>5.4577464788732391E-2</v>
      </c>
      <c r="R141" t="str">
        <f t="shared" si="13"/>
        <v>Partially Delivered</v>
      </c>
      <c r="S141" t="str">
        <f t="shared" si="14"/>
        <v>Status-Date Conflict</v>
      </c>
    </row>
    <row r="142" spans="1:19" x14ac:dyDescent="0.25">
      <c r="A142" t="s">
        <v>167</v>
      </c>
      <c r="B142" t="s">
        <v>23</v>
      </c>
      <c r="C142" s="1">
        <v>45172</v>
      </c>
      <c r="D142" s="1">
        <v>45176</v>
      </c>
      <c r="E142" t="s">
        <v>21</v>
      </c>
      <c r="F142" t="s">
        <v>18</v>
      </c>
      <c r="G142">
        <v>1212</v>
      </c>
      <c r="H142" s="3">
        <v>87.46</v>
      </c>
      <c r="I142" s="3">
        <v>74.55</v>
      </c>
      <c r="J142">
        <v>118</v>
      </c>
      <c r="K142" t="s">
        <v>27</v>
      </c>
      <c r="L142">
        <f t="shared" si="10"/>
        <v>4</v>
      </c>
      <c r="M142" s="3">
        <f>Table1[[#This Row],[Quantity]]*Table1[[#This Row],[Negotiated_Price]]</f>
        <v>90354.599999999991</v>
      </c>
      <c r="N142" s="3">
        <f>Table1[[#This Row],[Quantity]]*Table1[[#This Row],[Unit_Price]]</f>
        <v>106001.51999999999</v>
      </c>
      <c r="O142" s="3">
        <f>Table1[[#This Row],[ Original_Spend ]]-Table1[[#This Row],[ Total_Spend ]]</f>
        <v>15646.919999999998</v>
      </c>
      <c r="P142" s="2">
        <f t="shared" si="11"/>
        <v>0.14761033615367025</v>
      </c>
      <c r="Q142" s="2">
        <f t="shared" si="12"/>
        <v>9.7359735973597358E-2</v>
      </c>
      <c r="R142" t="str">
        <f t="shared" si="13"/>
        <v>On Time</v>
      </c>
      <c r="S142" t="str">
        <f t="shared" si="14"/>
        <v>OK</v>
      </c>
    </row>
    <row r="143" spans="1:19" x14ac:dyDescent="0.25">
      <c r="A143" t="s">
        <v>168</v>
      </c>
      <c r="B143" t="s">
        <v>29</v>
      </c>
      <c r="C143" s="1">
        <v>44627</v>
      </c>
      <c r="D143" s="1">
        <v>44632</v>
      </c>
      <c r="E143" t="s">
        <v>21</v>
      </c>
      <c r="F143" t="s">
        <v>18</v>
      </c>
      <c r="G143">
        <v>1572</v>
      </c>
      <c r="H143" s="3">
        <v>57.38</v>
      </c>
      <c r="I143" s="3">
        <v>49.32</v>
      </c>
      <c r="J143">
        <v>40</v>
      </c>
      <c r="K143" t="s">
        <v>15</v>
      </c>
      <c r="L143">
        <f t="shared" si="10"/>
        <v>5</v>
      </c>
      <c r="M143" s="3">
        <f>Table1[[#This Row],[Quantity]]*Table1[[#This Row],[Negotiated_Price]]</f>
        <v>77531.039999999994</v>
      </c>
      <c r="N143" s="3">
        <f>Table1[[#This Row],[Quantity]]*Table1[[#This Row],[Unit_Price]]</f>
        <v>90201.36</v>
      </c>
      <c r="O143" s="3">
        <f>Table1[[#This Row],[ Original_Spend ]]-Table1[[#This Row],[ Total_Spend ]]</f>
        <v>12670.320000000007</v>
      </c>
      <c r="P143" s="2">
        <f t="shared" si="11"/>
        <v>0.14046706169397011</v>
      </c>
      <c r="Q143" s="2">
        <f t="shared" si="12"/>
        <v>2.5445292620865138E-2</v>
      </c>
      <c r="R143" t="str">
        <f t="shared" si="13"/>
        <v>On Time</v>
      </c>
      <c r="S143" t="str">
        <f t="shared" si="14"/>
        <v>OK</v>
      </c>
    </row>
    <row r="144" spans="1:19" x14ac:dyDescent="0.25">
      <c r="A144" t="s">
        <v>169</v>
      </c>
      <c r="B144" t="s">
        <v>20</v>
      </c>
      <c r="C144" s="1">
        <v>44956</v>
      </c>
      <c r="D144" s="1">
        <v>44966</v>
      </c>
      <c r="E144" t="s">
        <v>39</v>
      </c>
      <c r="F144" t="s">
        <v>18</v>
      </c>
      <c r="G144">
        <v>642</v>
      </c>
      <c r="H144" s="3">
        <v>91.9</v>
      </c>
      <c r="I144" s="3">
        <v>81.489999999999995</v>
      </c>
      <c r="J144">
        <v>26</v>
      </c>
      <c r="K144" t="s">
        <v>15</v>
      </c>
      <c r="L144">
        <f t="shared" si="10"/>
        <v>10</v>
      </c>
      <c r="M144" s="3">
        <f>Table1[[#This Row],[Quantity]]*Table1[[#This Row],[Negotiated_Price]]</f>
        <v>52316.579999999994</v>
      </c>
      <c r="N144" s="3">
        <f>Table1[[#This Row],[Quantity]]*Table1[[#This Row],[Unit_Price]]</f>
        <v>58999.8</v>
      </c>
      <c r="O144" s="3">
        <f>Table1[[#This Row],[ Original_Spend ]]-Table1[[#This Row],[ Total_Spend ]]</f>
        <v>6683.2200000000084</v>
      </c>
      <c r="P144" s="2">
        <f t="shared" si="11"/>
        <v>0.11327529923830264</v>
      </c>
      <c r="Q144" s="2">
        <f t="shared" si="12"/>
        <v>4.0498442367601244E-2</v>
      </c>
      <c r="R144" t="str">
        <f t="shared" si="13"/>
        <v>On Time</v>
      </c>
      <c r="S144" t="str">
        <f t="shared" si="14"/>
        <v>OK</v>
      </c>
    </row>
    <row r="145" spans="1:19" x14ac:dyDescent="0.25">
      <c r="A145" t="s">
        <v>170</v>
      </c>
      <c r="B145" t="s">
        <v>29</v>
      </c>
      <c r="C145" s="1">
        <v>44952</v>
      </c>
      <c r="D145" s="1">
        <v>44961</v>
      </c>
      <c r="E145" t="s">
        <v>13</v>
      </c>
      <c r="F145" t="s">
        <v>18</v>
      </c>
      <c r="G145">
        <v>441</v>
      </c>
      <c r="H145" s="3">
        <v>63.25</v>
      </c>
      <c r="I145" s="3">
        <v>54.12</v>
      </c>
      <c r="J145">
        <v>16</v>
      </c>
      <c r="K145" t="s">
        <v>15</v>
      </c>
      <c r="L145">
        <f t="shared" si="10"/>
        <v>9</v>
      </c>
      <c r="M145" s="3">
        <f>Table1[[#This Row],[Quantity]]*Table1[[#This Row],[Negotiated_Price]]</f>
        <v>23866.92</v>
      </c>
      <c r="N145" s="3">
        <f>Table1[[#This Row],[Quantity]]*Table1[[#This Row],[Unit_Price]]</f>
        <v>27893.25</v>
      </c>
      <c r="O145" s="3">
        <f>Table1[[#This Row],[ Original_Spend ]]-Table1[[#This Row],[ Total_Spend ]]</f>
        <v>4026.3300000000017</v>
      </c>
      <c r="P145" s="2">
        <f t="shared" si="11"/>
        <v>0.14434782608695659</v>
      </c>
      <c r="Q145" s="2">
        <f t="shared" si="12"/>
        <v>3.6281179138321996E-2</v>
      </c>
      <c r="R145" t="str">
        <f t="shared" si="13"/>
        <v>On Time</v>
      </c>
      <c r="S145" t="str">
        <f t="shared" si="14"/>
        <v>OK</v>
      </c>
    </row>
    <row r="146" spans="1:19" x14ac:dyDescent="0.25">
      <c r="A146" t="s">
        <v>171</v>
      </c>
      <c r="B146" t="s">
        <v>29</v>
      </c>
      <c r="C146" s="1">
        <v>45172</v>
      </c>
      <c r="D146" s="1">
        <v>45188</v>
      </c>
      <c r="E146" t="s">
        <v>13</v>
      </c>
      <c r="F146" t="s">
        <v>18</v>
      </c>
      <c r="G146">
        <v>1748</v>
      </c>
      <c r="H146" s="3">
        <v>66.53</v>
      </c>
      <c r="I146" s="3">
        <v>57.11</v>
      </c>
      <c r="K146" t="s">
        <v>15</v>
      </c>
      <c r="L146">
        <f t="shared" si="10"/>
        <v>16</v>
      </c>
      <c r="M146" s="3">
        <f>Table1[[#This Row],[Quantity]]*Table1[[#This Row],[Negotiated_Price]]</f>
        <v>99828.28</v>
      </c>
      <c r="N146" s="3">
        <f>Table1[[#This Row],[Quantity]]*Table1[[#This Row],[Unit_Price]]</f>
        <v>116294.44</v>
      </c>
      <c r="O146" s="3">
        <f>Table1[[#This Row],[ Original_Spend ]]-Table1[[#This Row],[ Total_Spend ]]</f>
        <v>16466.160000000003</v>
      </c>
      <c r="P146" s="2">
        <f t="shared" si="11"/>
        <v>0.14159026003306782</v>
      </c>
      <c r="Q146" s="2">
        <f t="shared" si="12"/>
        <v>0</v>
      </c>
      <c r="R146" t="str">
        <f t="shared" si="13"/>
        <v>Late</v>
      </c>
      <c r="S146" t="str">
        <f t="shared" si="14"/>
        <v>OK</v>
      </c>
    </row>
    <row r="147" spans="1:19" x14ac:dyDescent="0.25">
      <c r="A147" t="s">
        <v>172</v>
      </c>
      <c r="B147" t="s">
        <v>20</v>
      </c>
      <c r="C147" s="1">
        <v>45041</v>
      </c>
      <c r="E147" t="s">
        <v>39</v>
      </c>
      <c r="F147" t="s">
        <v>35</v>
      </c>
      <c r="G147">
        <v>468</v>
      </c>
      <c r="H147" s="3">
        <v>95.57</v>
      </c>
      <c r="I147" s="3">
        <v>91.8</v>
      </c>
      <c r="J147">
        <v>24</v>
      </c>
      <c r="K147" t="s">
        <v>15</v>
      </c>
      <c r="L147" t="str">
        <f t="shared" si="10"/>
        <v/>
      </c>
      <c r="M147" s="3">
        <f>Table1[[#This Row],[Quantity]]*Table1[[#This Row],[Negotiated_Price]]</f>
        <v>42962.400000000001</v>
      </c>
      <c r="N147" s="3">
        <f>Table1[[#This Row],[Quantity]]*Table1[[#This Row],[Unit_Price]]</f>
        <v>44726.759999999995</v>
      </c>
      <c r="O147" s="3">
        <f>Table1[[#This Row],[ Original_Spend ]]-Table1[[#This Row],[ Total_Spend ]]</f>
        <v>1764.3599999999933</v>
      </c>
      <c r="P147" s="2">
        <f t="shared" si="11"/>
        <v>3.9447525374071216E-2</v>
      </c>
      <c r="Q147" s="2">
        <f t="shared" si="12"/>
        <v>5.128205128205128E-2</v>
      </c>
      <c r="R147" t="str">
        <f t="shared" si="13"/>
        <v>Pending</v>
      </c>
      <c r="S147" t="str">
        <f t="shared" si="14"/>
        <v>OK</v>
      </c>
    </row>
    <row r="148" spans="1:19" x14ac:dyDescent="0.25">
      <c r="A148" t="s">
        <v>173</v>
      </c>
      <c r="B148" t="s">
        <v>23</v>
      </c>
      <c r="C148" s="1">
        <v>45103</v>
      </c>
      <c r="D148" s="1">
        <v>45121</v>
      </c>
      <c r="E148" t="s">
        <v>26</v>
      </c>
      <c r="F148" t="s">
        <v>18</v>
      </c>
      <c r="G148">
        <v>338</v>
      </c>
      <c r="H148" s="3">
        <v>50.25</v>
      </c>
      <c r="I148" s="3">
        <v>46.28</v>
      </c>
      <c r="J148">
        <v>49</v>
      </c>
      <c r="K148" t="s">
        <v>27</v>
      </c>
      <c r="L148">
        <f t="shared" si="10"/>
        <v>18</v>
      </c>
      <c r="M148" s="3">
        <f>Table1[[#This Row],[Quantity]]*Table1[[#This Row],[Negotiated_Price]]</f>
        <v>15642.640000000001</v>
      </c>
      <c r="N148" s="3">
        <f>Table1[[#This Row],[Quantity]]*Table1[[#This Row],[Unit_Price]]</f>
        <v>16984.5</v>
      </c>
      <c r="O148" s="3">
        <f>Table1[[#This Row],[ Original_Spend ]]-Table1[[#This Row],[ Total_Spend ]]</f>
        <v>1341.8599999999988</v>
      </c>
      <c r="P148" s="2">
        <f t="shared" si="11"/>
        <v>7.9004975124378041E-2</v>
      </c>
      <c r="Q148" s="2">
        <f t="shared" si="12"/>
        <v>0.14497041420118342</v>
      </c>
      <c r="R148" t="str">
        <f t="shared" si="13"/>
        <v>Late</v>
      </c>
      <c r="S148" t="str">
        <f t="shared" si="14"/>
        <v>OK</v>
      </c>
    </row>
    <row r="149" spans="1:19" x14ac:dyDescent="0.25">
      <c r="A149" t="s">
        <v>174</v>
      </c>
      <c r="B149" t="s">
        <v>20</v>
      </c>
      <c r="C149" s="1">
        <v>44819</v>
      </c>
      <c r="D149" s="1">
        <v>44826</v>
      </c>
      <c r="E149" t="s">
        <v>13</v>
      </c>
      <c r="F149" t="s">
        <v>18</v>
      </c>
      <c r="G149">
        <v>428</v>
      </c>
      <c r="H149" s="3">
        <v>22.94</v>
      </c>
      <c r="I149" s="3">
        <v>21.52</v>
      </c>
      <c r="J149">
        <v>26</v>
      </c>
      <c r="K149" t="s">
        <v>15</v>
      </c>
      <c r="L149">
        <f t="shared" si="10"/>
        <v>7</v>
      </c>
      <c r="M149" s="3">
        <f>Table1[[#This Row],[Quantity]]*Table1[[#This Row],[Negotiated_Price]]</f>
        <v>9210.56</v>
      </c>
      <c r="N149" s="3">
        <f>Table1[[#This Row],[Quantity]]*Table1[[#This Row],[Unit_Price]]</f>
        <v>9818.32</v>
      </c>
      <c r="O149" s="3">
        <f>Table1[[#This Row],[ Original_Spend ]]-Table1[[#This Row],[ Total_Spend ]]</f>
        <v>607.76000000000022</v>
      </c>
      <c r="P149" s="2">
        <f t="shared" si="11"/>
        <v>6.1900610287707089E-2</v>
      </c>
      <c r="Q149" s="2">
        <f t="shared" si="12"/>
        <v>6.0747663551401869E-2</v>
      </c>
      <c r="R149" t="str">
        <f t="shared" si="13"/>
        <v>On Time</v>
      </c>
      <c r="S149" t="str">
        <f t="shared" si="14"/>
        <v>OK</v>
      </c>
    </row>
    <row r="150" spans="1:19" x14ac:dyDescent="0.25">
      <c r="A150" t="s">
        <v>175</v>
      </c>
      <c r="B150" t="s">
        <v>23</v>
      </c>
      <c r="C150" s="1">
        <v>45128</v>
      </c>
      <c r="E150" t="s">
        <v>24</v>
      </c>
      <c r="F150" t="s">
        <v>18</v>
      </c>
      <c r="G150">
        <v>1846</v>
      </c>
      <c r="H150" s="3">
        <v>13.72</v>
      </c>
      <c r="I150" s="3">
        <v>12.62</v>
      </c>
      <c r="J150">
        <v>216</v>
      </c>
      <c r="K150" t="s">
        <v>15</v>
      </c>
      <c r="L150" t="str">
        <f t="shared" si="10"/>
        <v/>
      </c>
      <c r="M150" s="3">
        <f>Table1[[#This Row],[Quantity]]*Table1[[#This Row],[Negotiated_Price]]</f>
        <v>23296.519999999997</v>
      </c>
      <c r="N150" s="3">
        <f>Table1[[#This Row],[Quantity]]*Table1[[#This Row],[Unit_Price]]</f>
        <v>25327.120000000003</v>
      </c>
      <c r="O150" s="3">
        <f>Table1[[#This Row],[ Original_Spend ]]-Table1[[#This Row],[ Total_Spend ]]</f>
        <v>2030.6000000000058</v>
      </c>
      <c r="P150" s="2">
        <f t="shared" si="11"/>
        <v>8.0174927113702846E-2</v>
      </c>
      <c r="Q150" s="2">
        <f t="shared" si="12"/>
        <v>0.11700975081256772</v>
      </c>
      <c r="R150" t="str">
        <f t="shared" si="13"/>
        <v>Missing Delivery Date</v>
      </c>
      <c r="S150" t="str">
        <f t="shared" si="14"/>
        <v>Missing Delivery Date</v>
      </c>
    </row>
    <row r="151" spans="1:19" x14ac:dyDescent="0.25">
      <c r="A151" t="s">
        <v>176</v>
      </c>
      <c r="B151" t="s">
        <v>29</v>
      </c>
      <c r="C151" s="1">
        <v>44573</v>
      </c>
      <c r="D151" s="1">
        <v>44578</v>
      </c>
      <c r="E151" t="s">
        <v>13</v>
      </c>
      <c r="F151" t="s">
        <v>18</v>
      </c>
      <c r="G151">
        <v>1563</v>
      </c>
      <c r="H151" s="3">
        <v>77.959999999999994</v>
      </c>
      <c r="I151" s="3">
        <v>70.8</v>
      </c>
      <c r="J151">
        <v>41</v>
      </c>
      <c r="K151" t="s">
        <v>15</v>
      </c>
      <c r="L151">
        <f t="shared" si="10"/>
        <v>5</v>
      </c>
      <c r="M151" s="3">
        <f>Table1[[#This Row],[Quantity]]*Table1[[#This Row],[Negotiated_Price]]</f>
        <v>110660.4</v>
      </c>
      <c r="N151" s="3">
        <f>Table1[[#This Row],[Quantity]]*Table1[[#This Row],[Unit_Price]]</f>
        <v>121851.48</v>
      </c>
      <c r="O151" s="3">
        <f>Table1[[#This Row],[ Original_Spend ]]-Table1[[#This Row],[ Total_Spend ]]</f>
        <v>11191.080000000002</v>
      </c>
      <c r="P151" s="2">
        <f t="shared" si="11"/>
        <v>9.1841970241149332E-2</v>
      </c>
      <c r="Q151" s="2">
        <f t="shared" si="12"/>
        <v>2.6231605886116442E-2</v>
      </c>
      <c r="R151" t="str">
        <f t="shared" si="13"/>
        <v>On Time</v>
      </c>
      <c r="S151" t="str">
        <f t="shared" si="14"/>
        <v>OK</v>
      </c>
    </row>
    <row r="152" spans="1:19" x14ac:dyDescent="0.25">
      <c r="A152" t="s">
        <v>177</v>
      </c>
      <c r="B152" t="s">
        <v>23</v>
      </c>
      <c r="C152" s="1">
        <v>45258</v>
      </c>
      <c r="D152" s="1">
        <v>45267</v>
      </c>
      <c r="E152" t="s">
        <v>13</v>
      </c>
      <c r="F152" t="s">
        <v>18</v>
      </c>
      <c r="G152">
        <v>280</v>
      </c>
      <c r="H152" s="3">
        <v>73.069999999999993</v>
      </c>
      <c r="I152" s="3">
        <v>69.290000000000006</v>
      </c>
      <c r="J152">
        <v>30</v>
      </c>
      <c r="K152" t="s">
        <v>15</v>
      </c>
      <c r="L152">
        <f t="shared" si="10"/>
        <v>9</v>
      </c>
      <c r="M152" s="3">
        <f>Table1[[#This Row],[Quantity]]*Table1[[#This Row],[Negotiated_Price]]</f>
        <v>19401.2</v>
      </c>
      <c r="N152" s="3">
        <f>Table1[[#This Row],[Quantity]]*Table1[[#This Row],[Unit_Price]]</f>
        <v>20459.599999999999</v>
      </c>
      <c r="O152" s="3">
        <f>Table1[[#This Row],[ Original_Spend ]]-Table1[[#This Row],[ Total_Spend ]]</f>
        <v>1058.3999999999978</v>
      </c>
      <c r="P152" s="2">
        <f t="shared" si="11"/>
        <v>5.1731216641576469E-2</v>
      </c>
      <c r="Q152" s="2">
        <f t="shared" si="12"/>
        <v>0.10714285714285714</v>
      </c>
      <c r="R152" t="str">
        <f t="shared" si="13"/>
        <v>On Time</v>
      </c>
      <c r="S152" t="str">
        <f t="shared" si="14"/>
        <v>OK</v>
      </c>
    </row>
    <row r="153" spans="1:19" x14ac:dyDescent="0.25">
      <c r="A153" t="s">
        <v>178</v>
      </c>
      <c r="B153" t="s">
        <v>17</v>
      </c>
      <c r="C153" s="1">
        <v>44679</v>
      </c>
      <c r="D153" s="1">
        <v>44693</v>
      </c>
      <c r="E153" t="s">
        <v>26</v>
      </c>
      <c r="F153" t="s">
        <v>18</v>
      </c>
      <c r="G153">
        <v>1067</v>
      </c>
      <c r="H153" s="3">
        <v>74.47</v>
      </c>
      <c r="I153" s="3">
        <v>64.16</v>
      </c>
      <c r="K153" t="s">
        <v>27</v>
      </c>
      <c r="L153">
        <f t="shared" si="10"/>
        <v>14</v>
      </c>
      <c r="M153" s="3">
        <f>Table1[[#This Row],[Quantity]]*Table1[[#This Row],[Negotiated_Price]]</f>
        <v>68458.720000000001</v>
      </c>
      <c r="N153" s="3">
        <f>Table1[[#This Row],[Quantity]]*Table1[[#This Row],[Unit_Price]]</f>
        <v>79459.490000000005</v>
      </c>
      <c r="O153" s="3">
        <f>Table1[[#This Row],[ Original_Spend ]]-Table1[[#This Row],[ Total_Spend ]]</f>
        <v>11000.770000000004</v>
      </c>
      <c r="P153" s="2">
        <f t="shared" si="11"/>
        <v>0.13844501141399226</v>
      </c>
      <c r="Q153" s="2">
        <f t="shared" si="12"/>
        <v>0</v>
      </c>
      <c r="R153" t="str">
        <f t="shared" si="13"/>
        <v>Late</v>
      </c>
      <c r="S153" t="str">
        <f t="shared" si="14"/>
        <v>OK</v>
      </c>
    </row>
    <row r="154" spans="1:19" x14ac:dyDescent="0.25">
      <c r="A154" t="s">
        <v>179</v>
      </c>
      <c r="B154" t="s">
        <v>20</v>
      </c>
      <c r="C154" s="1">
        <v>45260</v>
      </c>
      <c r="D154" s="1">
        <v>45277</v>
      </c>
      <c r="E154" t="s">
        <v>39</v>
      </c>
      <c r="F154" t="s">
        <v>35</v>
      </c>
      <c r="G154">
        <v>90</v>
      </c>
      <c r="H154" s="3">
        <v>32.380000000000003</v>
      </c>
      <c r="I154" s="3">
        <v>29.96</v>
      </c>
      <c r="J154">
        <v>7</v>
      </c>
      <c r="K154" t="s">
        <v>15</v>
      </c>
      <c r="L154">
        <f t="shared" si="10"/>
        <v>17</v>
      </c>
      <c r="M154" s="3">
        <f>Table1[[#This Row],[Quantity]]*Table1[[#This Row],[Negotiated_Price]]</f>
        <v>2696.4</v>
      </c>
      <c r="N154" s="3">
        <f>Table1[[#This Row],[Quantity]]*Table1[[#This Row],[Unit_Price]]</f>
        <v>2914.2000000000003</v>
      </c>
      <c r="O154" s="3">
        <f>Table1[[#This Row],[ Original_Spend ]]-Table1[[#This Row],[ Total_Spend ]]</f>
        <v>217.80000000000018</v>
      </c>
      <c r="P154" s="2">
        <f t="shared" si="11"/>
        <v>7.4737492279184733E-2</v>
      </c>
      <c r="Q154" s="2">
        <f t="shared" si="12"/>
        <v>7.7777777777777779E-2</v>
      </c>
      <c r="R154" t="str">
        <f t="shared" si="13"/>
        <v>Pending</v>
      </c>
      <c r="S154" t="str">
        <f t="shared" si="14"/>
        <v>Status-Date Conflict</v>
      </c>
    </row>
    <row r="155" spans="1:19" x14ac:dyDescent="0.25">
      <c r="A155" t="s">
        <v>180</v>
      </c>
      <c r="B155" t="s">
        <v>20</v>
      </c>
      <c r="C155" s="1">
        <v>45111</v>
      </c>
      <c r="D155" s="1">
        <v>45112</v>
      </c>
      <c r="E155" t="s">
        <v>26</v>
      </c>
      <c r="F155" t="s">
        <v>18</v>
      </c>
      <c r="G155">
        <v>1101</v>
      </c>
      <c r="H155" s="3">
        <v>24.28</v>
      </c>
      <c r="I155" s="3">
        <v>22.73</v>
      </c>
      <c r="J155">
        <v>59</v>
      </c>
      <c r="K155" t="s">
        <v>27</v>
      </c>
      <c r="L155">
        <f t="shared" si="10"/>
        <v>1</v>
      </c>
      <c r="M155" s="3">
        <f>Table1[[#This Row],[Quantity]]*Table1[[#This Row],[Negotiated_Price]]</f>
        <v>25025.73</v>
      </c>
      <c r="N155" s="3">
        <f>Table1[[#This Row],[Quantity]]*Table1[[#This Row],[Unit_Price]]</f>
        <v>26732.280000000002</v>
      </c>
      <c r="O155" s="3">
        <f>Table1[[#This Row],[ Original_Spend ]]-Table1[[#This Row],[ Total_Spend ]]</f>
        <v>1706.5500000000029</v>
      </c>
      <c r="P155" s="2">
        <f t="shared" si="11"/>
        <v>6.3838550247117071E-2</v>
      </c>
      <c r="Q155" s="2">
        <f t="shared" si="12"/>
        <v>5.3587647593097185E-2</v>
      </c>
      <c r="R155" t="str">
        <f t="shared" si="13"/>
        <v>On Time</v>
      </c>
      <c r="S155" t="str">
        <f t="shared" si="14"/>
        <v>OK</v>
      </c>
    </row>
    <row r="156" spans="1:19" x14ac:dyDescent="0.25">
      <c r="A156" t="s">
        <v>181</v>
      </c>
      <c r="B156" t="s">
        <v>12</v>
      </c>
      <c r="C156" s="1">
        <v>44835</v>
      </c>
      <c r="D156" s="1">
        <v>44845</v>
      </c>
      <c r="E156" t="s">
        <v>26</v>
      </c>
      <c r="F156" t="s">
        <v>18</v>
      </c>
      <c r="G156">
        <v>184</v>
      </c>
      <c r="H156" s="3">
        <v>11.82</v>
      </c>
      <c r="I156" s="3">
        <v>10.51</v>
      </c>
      <c r="J156">
        <v>4</v>
      </c>
      <c r="K156" t="s">
        <v>15</v>
      </c>
      <c r="L156">
        <f t="shared" si="10"/>
        <v>10</v>
      </c>
      <c r="M156" s="3">
        <f>Table1[[#This Row],[Quantity]]*Table1[[#This Row],[Negotiated_Price]]</f>
        <v>1933.84</v>
      </c>
      <c r="N156" s="3">
        <f>Table1[[#This Row],[Quantity]]*Table1[[#This Row],[Unit_Price]]</f>
        <v>2174.88</v>
      </c>
      <c r="O156" s="3">
        <f>Table1[[#This Row],[ Original_Spend ]]-Table1[[#This Row],[ Total_Spend ]]</f>
        <v>241.04000000000019</v>
      </c>
      <c r="P156" s="2">
        <f t="shared" si="11"/>
        <v>0.1108291032148901</v>
      </c>
      <c r="Q156" s="2">
        <f t="shared" si="12"/>
        <v>2.1739130434782608E-2</v>
      </c>
      <c r="R156" t="str">
        <f t="shared" si="13"/>
        <v>On Time</v>
      </c>
      <c r="S156" t="str">
        <f t="shared" si="14"/>
        <v>OK</v>
      </c>
    </row>
    <row r="157" spans="1:19" x14ac:dyDescent="0.25">
      <c r="A157" t="s">
        <v>182</v>
      </c>
      <c r="B157" t="s">
        <v>29</v>
      </c>
      <c r="C157" s="1">
        <v>45218</v>
      </c>
      <c r="D157" s="1">
        <v>45237</v>
      </c>
      <c r="E157" t="s">
        <v>39</v>
      </c>
      <c r="F157" t="s">
        <v>18</v>
      </c>
      <c r="G157">
        <v>250</v>
      </c>
      <c r="H157" s="3">
        <v>45.92</v>
      </c>
      <c r="I157" s="3">
        <v>41.02</v>
      </c>
      <c r="J157">
        <v>3</v>
      </c>
      <c r="K157" t="s">
        <v>15</v>
      </c>
      <c r="L157">
        <f t="shared" si="10"/>
        <v>19</v>
      </c>
      <c r="M157" s="3">
        <f>Table1[[#This Row],[Quantity]]*Table1[[#This Row],[Negotiated_Price]]</f>
        <v>10255</v>
      </c>
      <c r="N157" s="3">
        <f>Table1[[#This Row],[Quantity]]*Table1[[#This Row],[Unit_Price]]</f>
        <v>11480</v>
      </c>
      <c r="O157" s="3">
        <f>Table1[[#This Row],[ Original_Spend ]]-Table1[[#This Row],[ Total_Spend ]]</f>
        <v>1225</v>
      </c>
      <c r="P157" s="2">
        <f t="shared" si="11"/>
        <v>0.10670731707317073</v>
      </c>
      <c r="Q157" s="2">
        <f t="shared" si="12"/>
        <v>1.2E-2</v>
      </c>
      <c r="R157" t="str">
        <f t="shared" si="13"/>
        <v>Late</v>
      </c>
      <c r="S157" t="str">
        <f t="shared" si="14"/>
        <v>OK</v>
      </c>
    </row>
    <row r="158" spans="1:19" x14ac:dyDescent="0.25">
      <c r="A158" t="s">
        <v>183</v>
      </c>
      <c r="B158" t="s">
        <v>29</v>
      </c>
      <c r="C158" s="1">
        <v>44910</v>
      </c>
      <c r="E158" t="s">
        <v>24</v>
      </c>
      <c r="F158" t="s">
        <v>14</v>
      </c>
      <c r="G158">
        <v>1913</v>
      </c>
      <c r="H158" s="3">
        <v>66.56</v>
      </c>
      <c r="I158" s="3">
        <v>61.34</v>
      </c>
      <c r="J158">
        <v>61</v>
      </c>
      <c r="K158" t="s">
        <v>15</v>
      </c>
      <c r="L158" t="str">
        <f t="shared" si="10"/>
        <v/>
      </c>
      <c r="M158" s="3">
        <f>Table1[[#This Row],[Quantity]]*Table1[[#This Row],[Negotiated_Price]]</f>
        <v>117343.42000000001</v>
      </c>
      <c r="N158" s="3">
        <f>Table1[[#This Row],[Quantity]]*Table1[[#This Row],[Unit_Price]]</f>
        <v>127329.28</v>
      </c>
      <c r="O158" s="3">
        <f>Table1[[#This Row],[ Original_Spend ]]-Table1[[#This Row],[ Total_Spend ]]</f>
        <v>9985.859999999986</v>
      </c>
      <c r="P158" s="2">
        <f t="shared" si="11"/>
        <v>7.8425480769230657E-2</v>
      </c>
      <c r="Q158" s="2">
        <f t="shared" si="12"/>
        <v>3.1887088342916883E-2</v>
      </c>
      <c r="R158" t="str">
        <f t="shared" si="13"/>
        <v>Cancelled</v>
      </c>
      <c r="S158" t="str">
        <f t="shared" si="14"/>
        <v>OK</v>
      </c>
    </row>
    <row r="159" spans="1:19" x14ac:dyDescent="0.25">
      <c r="A159" t="s">
        <v>184</v>
      </c>
      <c r="B159" t="s">
        <v>23</v>
      </c>
      <c r="C159" s="1">
        <v>44676</v>
      </c>
      <c r="D159" s="1">
        <v>44681</v>
      </c>
      <c r="E159" t="s">
        <v>39</v>
      </c>
      <c r="F159" t="s">
        <v>18</v>
      </c>
      <c r="G159">
        <v>829</v>
      </c>
      <c r="H159" s="3">
        <v>45.98</v>
      </c>
      <c r="I159" s="3">
        <v>40.39</v>
      </c>
      <c r="K159" t="s">
        <v>15</v>
      </c>
      <c r="L159">
        <f t="shared" si="10"/>
        <v>5</v>
      </c>
      <c r="M159" s="3">
        <f>Table1[[#This Row],[Quantity]]*Table1[[#This Row],[Negotiated_Price]]</f>
        <v>33483.31</v>
      </c>
      <c r="N159" s="3">
        <f>Table1[[#This Row],[Quantity]]*Table1[[#This Row],[Unit_Price]]</f>
        <v>38117.42</v>
      </c>
      <c r="O159" s="3">
        <f>Table1[[#This Row],[ Original_Spend ]]-Table1[[#This Row],[ Total_Spend ]]</f>
        <v>4634.1100000000006</v>
      </c>
      <c r="P159" s="2">
        <f t="shared" si="11"/>
        <v>0.12157459765115269</v>
      </c>
      <c r="Q159" s="2">
        <f t="shared" si="12"/>
        <v>0</v>
      </c>
      <c r="R159" t="str">
        <f t="shared" si="13"/>
        <v>On Time</v>
      </c>
      <c r="S159" t="str">
        <f t="shared" si="14"/>
        <v>OK</v>
      </c>
    </row>
    <row r="160" spans="1:19" x14ac:dyDescent="0.25">
      <c r="A160" t="s">
        <v>185</v>
      </c>
      <c r="B160" t="s">
        <v>17</v>
      </c>
      <c r="C160" s="1">
        <v>44862</v>
      </c>
      <c r="D160" s="1">
        <v>44878</v>
      </c>
      <c r="E160" t="s">
        <v>26</v>
      </c>
      <c r="F160" t="s">
        <v>18</v>
      </c>
      <c r="G160">
        <v>979</v>
      </c>
      <c r="H160" s="3">
        <v>51.59</v>
      </c>
      <c r="I160" s="3">
        <v>49.69</v>
      </c>
      <c r="J160">
        <v>148</v>
      </c>
      <c r="K160" t="s">
        <v>15</v>
      </c>
      <c r="L160">
        <f t="shared" si="10"/>
        <v>16</v>
      </c>
      <c r="M160" s="3">
        <f>Table1[[#This Row],[Quantity]]*Table1[[#This Row],[Negotiated_Price]]</f>
        <v>48646.509999999995</v>
      </c>
      <c r="N160" s="3">
        <f>Table1[[#This Row],[Quantity]]*Table1[[#This Row],[Unit_Price]]</f>
        <v>50506.61</v>
      </c>
      <c r="O160" s="3">
        <f>Table1[[#This Row],[ Original_Spend ]]-Table1[[#This Row],[ Total_Spend ]]</f>
        <v>1860.1000000000058</v>
      </c>
      <c r="P160" s="2">
        <f t="shared" si="11"/>
        <v>3.6828842798992165E-2</v>
      </c>
      <c r="Q160" s="2">
        <f t="shared" si="12"/>
        <v>0.15117466802860061</v>
      </c>
      <c r="R160" t="str">
        <f t="shared" si="13"/>
        <v>Late</v>
      </c>
      <c r="S160" t="str">
        <f t="shared" si="14"/>
        <v>OK</v>
      </c>
    </row>
    <row r="161" spans="1:19" x14ac:dyDescent="0.25">
      <c r="A161" t="s">
        <v>186</v>
      </c>
      <c r="B161" t="s">
        <v>29</v>
      </c>
      <c r="C161" s="1">
        <v>45007</v>
      </c>
      <c r="D161" s="1">
        <v>45025</v>
      </c>
      <c r="E161" t="s">
        <v>39</v>
      </c>
      <c r="F161" t="s">
        <v>33</v>
      </c>
      <c r="G161">
        <v>1106</v>
      </c>
      <c r="H161" s="3">
        <v>97.77</v>
      </c>
      <c r="I161" s="3">
        <v>90.45</v>
      </c>
      <c r="J161">
        <v>31</v>
      </c>
      <c r="K161" t="s">
        <v>15</v>
      </c>
      <c r="L161">
        <f t="shared" si="10"/>
        <v>18</v>
      </c>
      <c r="M161" s="3">
        <f>Table1[[#This Row],[Quantity]]*Table1[[#This Row],[Negotiated_Price]]</f>
        <v>100037.7</v>
      </c>
      <c r="N161" s="3">
        <f>Table1[[#This Row],[Quantity]]*Table1[[#This Row],[Unit_Price]]</f>
        <v>108133.62</v>
      </c>
      <c r="O161" s="3">
        <f>Table1[[#This Row],[ Original_Spend ]]-Table1[[#This Row],[ Total_Spend ]]</f>
        <v>8095.9199999999983</v>
      </c>
      <c r="P161" s="2">
        <f t="shared" si="11"/>
        <v>7.4869591899355617E-2</v>
      </c>
      <c r="Q161" s="2">
        <f t="shared" si="12"/>
        <v>2.8028933092224231E-2</v>
      </c>
      <c r="R161" t="str">
        <f t="shared" si="13"/>
        <v>Partially Delivered</v>
      </c>
      <c r="S161" t="str">
        <f t="shared" si="14"/>
        <v>Status-Date Conflict</v>
      </c>
    </row>
    <row r="162" spans="1:19" x14ac:dyDescent="0.25">
      <c r="A162" t="s">
        <v>187</v>
      </c>
      <c r="B162" t="s">
        <v>17</v>
      </c>
      <c r="C162" s="1">
        <v>44723</v>
      </c>
      <c r="D162" s="1">
        <v>44736</v>
      </c>
      <c r="E162" t="s">
        <v>13</v>
      </c>
      <c r="F162" t="s">
        <v>35</v>
      </c>
      <c r="G162">
        <v>1121</v>
      </c>
      <c r="H162" s="3">
        <v>42.38</v>
      </c>
      <c r="I162" s="3">
        <v>38.340000000000003</v>
      </c>
      <c r="J162">
        <v>152</v>
      </c>
      <c r="K162" t="s">
        <v>15</v>
      </c>
      <c r="L162">
        <f t="shared" si="10"/>
        <v>13</v>
      </c>
      <c r="M162" s="3">
        <f>Table1[[#This Row],[Quantity]]*Table1[[#This Row],[Negotiated_Price]]</f>
        <v>42979.140000000007</v>
      </c>
      <c r="N162" s="3">
        <f>Table1[[#This Row],[Quantity]]*Table1[[#This Row],[Unit_Price]]</f>
        <v>47507.98</v>
      </c>
      <c r="O162" s="3">
        <f>Table1[[#This Row],[ Original_Spend ]]-Table1[[#This Row],[ Total_Spend ]]</f>
        <v>4528.8399999999965</v>
      </c>
      <c r="P162" s="2">
        <f t="shared" si="11"/>
        <v>9.5327984898536972E-2</v>
      </c>
      <c r="Q162" s="2">
        <f t="shared" si="12"/>
        <v>0.13559322033898305</v>
      </c>
      <c r="R162" t="str">
        <f t="shared" si="13"/>
        <v>Pending</v>
      </c>
      <c r="S162" t="str">
        <f t="shared" si="14"/>
        <v>Status-Date Conflict</v>
      </c>
    </row>
    <row r="163" spans="1:19" x14ac:dyDescent="0.25">
      <c r="A163" t="s">
        <v>188</v>
      </c>
      <c r="B163" t="s">
        <v>12</v>
      </c>
      <c r="C163" s="1">
        <v>45026</v>
      </c>
      <c r="D163" s="1">
        <v>45037</v>
      </c>
      <c r="E163" t="s">
        <v>13</v>
      </c>
      <c r="F163" t="s">
        <v>18</v>
      </c>
      <c r="G163">
        <v>552</v>
      </c>
      <c r="H163" s="3">
        <v>60.48</v>
      </c>
      <c r="I163" s="3">
        <v>56.78</v>
      </c>
      <c r="J163">
        <v>10</v>
      </c>
      <c r="K163" t="s">
        <v>15</v>
      </c>
      <c r="L163">
        <f t="shared" si="10"/>
        <v>11</v>
      </c>
      <c r="M163" s="3">
        <f>Table1[[#This Row],[Quantity]]*Table1[[#This Row],[Negotiated_Price]]</f>
        <v>31342.560000000001</v>
      </c>
      <c r="N163" s="3">
        <f>Table1[[#This Row],[Quantity]]*Table1[[#This Row],[Unit_Price]]</f>
        <v>33384.959999999999</v>
      </c>
      <c r="O163" s="3">
        <f>Table1[[#This Row],[ Original_Spend ]]-Table1[[#This Row],[ Total_Spend ]]</f>
        <v>2042.3999999999978</v>
      </c>
      <c r="P163" s="2">
        <f t="shared" si="11"/>
        <v>6.1177248677248615E-2</v>
      </c>
      <c r="Q163" s="2">
        <f t="shared" si="12"/>
        <v>1.8115942028985508E-2</v>
      </c>
      <c r="R163" t="str">
        <f t="shared" si="13"/>
        <v>Late</v>
      </c>
      <c r="S163" t="str">
        <f t="shared" si="14"/>
        <v>OK</v>
      </c>
    </row>
    <row r="164" spans="1:19" x14ac:dyDescent="0.25">
      <c r="A164" t="s">
        <v>189</v>
      </c>
      <c r="B164" t="s">
        <v>20</v>
      </c>
      <c r="C164" s="1">
        <v>44565</v>
      </c>
      <c r="D164" s="1">
        <v>44573</v>
      </c>
      <c r="E164" t="s">
        <v>24</v>
      </c>
      <c r="F164" t="s">
        <v>18</v>
      </c>
      <c r="G164">
        <v>456</v>
      </c>
      <c r="H164" s="3">
        <v>80.53</v>
      </c>
      <c r="I164" s="3">
        <v>77.86</v>
      </c>
      <c r="J164">
        <v>26</v>
      </c>
      <c r="K164" t="s">
        <v>15</v>
      </c>
      <c r="L164">
        <f t="shared" si="10"/>
        <v>8</v>
      </c>
      <c r="M164" s="3">
        <f>Table1[[#This Row],[Quantity]]*Table1[[#This Row],[Negotiated_Price]]</f>
        <v>35504.159999999996</v>
      </c>
      <c r="N164" s="3">
        <f>Table1[[#This Row],[Quantity]]*Table1[[#This Row],[Unit_Price]]</f>
        <v>36721.68</v>
      </c>
      <c r="O164" s="3">
        <f>Table1[[#This Row],[ Original_Spend ]]-Table1[[#This Row],[ Total_Spend ]]</f>
        <v>1217.5200000000041</v>
      </c>
      <c r="P164" s="2">
        <f t="shared" si="11"/>
        <v>3.3155345833850852E-2</v>
      </c>
      <c r="Q164" s="2">
        <f t="shared" si="12"/>
        <v>5.701754385964912E-2</v>
      </c>
      <c r="R164" t="str">
        <f t="shared" si="13"/>
        <v>On Time</v>
      </c>
      <c r="S164" t="str">
        <f t="shared" si="14"/>
        <v>OK</v>
      </c>
    </row>
    <row r="165" spans="1:19" x14ac:dyDescent="0.25">
      <c r="A165" t="s">
        <v>190</v>
      </c>
      <c r="B165" t="s">
        <v>17</v>
      </c>
      <c r="C165" s="1">
        <v>44831</v>
      </c>
      <c r="D165" s="1">
        <v>44839</v>
      </c>
      <c r="E165" t="s">
        <v>24</v>
      </c>
      <c r="F165" t="s">
        <v>18</v>
      </c>
      <c r="G165">
        <v>1647</v>
      </c>
      <c r="H165" s="3">
        <v>47.52</v>
      </c>
      <c r="I165" s="3">
        <v>44.92</v>
      </c>
      <c r="K165" t="s">
        <v>15</v>
      </c>
      <c r="L165">
        <f t="shared" si="10"/>
        <v>8</v>
      </c>
      <c r="M165" s="3">
        <f>Table1[[#This Row],[Quantity]]*Table1[[#This Row],[Negotiated_Price]]</f>
        <v>73983.240000000005</v>
      </c>
      <c r="N165" s="3">
        <f>Table1[[#This Row],[Quantity]]*Table1[[#This Row],[Unit_Price]]</f>
        <v>78265.440000000002</v>
      </c>
      <c r="O165" s="3">
        <f>Table1[[#This Row],[ Original_Spend ]]-Table1[[#This Row],[ Total_Spend ]]</f>
        <v>4282.1999999999971</v>
      </c>
      <c r="P165" s="2">
        <f t="shared" si="11"/>
        <v>5.4713804713804673E-2</v>
      </c>
      <c r="Q165" s="2">
        <f t="shared" si="12"/>
        <v>0</v>
      </c>
      <c r="R165" t="str">
        <f t="shared" si="13"/>
        <v>On Time</v>
      </c>
      <c r="S165" t="str">
        <f t="shared" si="14"/>
        <v>OK</v>
      </c>
    </row>
    <row r="166" spans="1:19" x14ac:dyDescent="0.25">
      <c r="A166" t="s">
        <v>191</v>
      </c>
      <c r="B166" t="s">
        <v>29</v>
      </c>
      <c r="C166" s="1">
        <v>45074</v>
      </c>
      <c r="D166" s="1">
        <v>45088</v>
      </c>
      <c r="E166" t="s">
        <v>39</v>
      </c>
      <c r="F166" t="s">
        <v>35</v>
      </c>
      <c r="G166">
        <v>1801</v>
      </c>
      <c r="H166" s="3">
        <v>71.27</v>
      </c>
      <c r="I166" s="3">
        <v>61.24</v>
      </c>
      <c r="J166">
        <v>43</v>
      </c>
      <c r="K166" t="s">
        <v>15</v>
      </c>
      <c r="L166">
        <f t="shared" si="10"/>
        <v>14</v>
      </c>
      <c r="M166" s="3">
        <f>Table1[[#This Row],[Quantity]]*Table1[[#This Row],[Negotiated_Price]]</f>
        <v>110293.24</v>
      </c>
      <c r="N166" s="3">
        <f>Table1[[#This Row],[Quantity]]*Table1[[#This Row],[Unit_Price]]</f>
        <v>128357.26999999999</v>
      </c>
      <c r="O166" s="3">
        <f>Table1[[#This Row],[ Original_Spend ]]-Table1[[#This Row],[ Total_Spend ]]</f>
        <v>18064.029999999984</v>
      </c>
      <c r="P166" s="2">
        <f t="shared" si="11"/>
        <v>0.14073242598568811</v>
      </c>
      <c r="Q166" s="2">
        <f t="shared" si="12"/>
        <v>2.3875624652970572E-2</v>
      </c>
      <c r="R166" t="str">
        <f t="shared" si="13"/>
        <v>Pending</v>
      </c>
      <c r="S166" t="str">
        <f t="shared" si="14"/>
        <v>Status-Date Conflict</v>
      </c>
    </row>
    <row r="167" spans="1:19" x14ac:dyDescent="0.25">
      <c r="A167" t="s">
        <v>192</v>
      </c>
      <c r="B167" t="s">
        <v>20</v>
      </c>
      <c r="C167" s="1">
        <v>44744</v>
      </c>
      <c r="D167" s="1">
        <v>44760</v>
      </c>
      <c r="E167" t="s">
        <v>39</v>
      </c>
      <c r="F167" t="s">
        <v>18</v>
      </c>
      <c r="G167">
        <v>854</v>
      </c>
      <c r="H167" s="3">
        <v>90.24</v>
      </c>
      <c r="I167" s="3">
        <v>85.53</v>
      </c>
      <c r="K167" t="s">
        <v>15</v>
      </c>
      <c r="L167">
        <f t="shared" si="10"/>
        <v>16</v>
      </c>
      <c r="M167" s="3">
        <f>Table1[[#This Row],[Quantity]]*Table1[[#This Row],[Negotiated_Price]]</f>
        <v>73042.62</v>
      </c>
      <c r="N167" s="3">
        <f>Table1[[#This Row],[Quantity]]*Table1[[#This Row],[Unit_Price]]</f>
        <v>77064.959999999992</v>
      </c>
      <c r="O167" s="3">
        <f>Table1[[#This Row],[ Original_Spend ]]-Table1[[#This Row],[ Total_Spend ]]</f>
        <v>4022.3399999999965</v>
      </c>
      <c r="P167" s="2">
        <f t="shared" si="11"/>
        <v>5.2194148936170172E-2</v>
      </c>
      <c r="Q167" s="2">
        <f t="shared" si="12"/>
        <v>0</v>
      </c>
      <c r="R167" t="str">
        <f t="shared" si="13"/>
        <v>Late</v>
      </c>
      <c r="S167" t="str">
        <f t="shared" si="14"/>
        <v>OK</v>
      </c>
    </row>
    <row r="168" spans="1:19" x14ac:dyDescent="0.25">
      <c r="A168" t="s">
        <v>193</v>
      </c>
      <c r="B168" t="s">
        <v>17</v>
      </c>
      <c r="C168" s="1">
        <v>45081</v>
      </c>
      <c r="D168" s="1">
        <v>45094</v>
      </c>
      <c r="E168" t="s">
        <v>39</v>
      </c>
      <c r="F168" t="s">
        <v>18</v>
      </c>
      <c r="G168">
        <v>148</v>
      </c>
      <c r="H168" s="3">
        <v>103.57</v>
      </c>
      <c r="I168" s="3">
        <v>98.62</v>
      </c>
      <c r="J168">
        <v>23</v>
      </c>
      <c r="K168" t="s">
        <v>27</v>
      </c>
      <c r="L168">
        <f t="shared" si="10"/>
        <v>13</v>
      </c>
      <c r="M168" s="3">
        <f>Table1[[#This Row],[Quantity]]*Table1[[#This Row],[Negotiated_Price]]</f>
        <v>14595.76</v>
      </c>
      <c r="N168" s="3">
        <f>Table1[[#This Row],[Quantity]]*Table1[[#This Row],[Unit_Price]]</f>
        <v>15328.359999999999</v>
      </c>
      <c r="O168" s="3">
        <f>Table1[[#This Row],[ Original_Spend ]]-Table1[[#This Row],[ Total_Spend ]]</f>
        <v>732.59999999999854</v>
      </c>
      <c r="P168" s="2">
        <f t="shared" si="11"/>
        <v>4.7793762672588495E-2</v>
      </c>
      <c r="Q168" s="2">
        <f t="shared" si="12"/>
        <v>0.1554054054054054</v>
      </c>
      <c r="R168" t="str">
        <f t="shared" si="13"/>
        <v>Late</v>
      </c>
      <c r="S168" t="str">
        <f t="shared" si="14"/>
        <v>OK</v>
      </c>
    </row>
    <row r="169" spans="1:19" x14ac:dyDescent="0.25">
      <c r="A169" t="s">
        <v>194</v>
      </c>
      <c r="B169" t="s">
        <v>17</v>
      </c>
      <c r="C169" s="1">
        <v>44670</v>
      </c>
      <c r="D169" s="1">
        <v>44675</v>
      </c>
      <c r="E169" t="s">
        <v>21</v>
      </c>
      <c r="F169" t="s">
        <v>18</v>
      </c>
      <c r="G169">
        <v>733</v>
      </c>
      <c r="H169" s="3">
        <v>23.59</v>
      </c>
      <c r="I169" s="3">
        <v>22.85</v>
      </c>
      <c r="J169">
        <v>92</v>
      </c>
      <c r="K169" t="s">
        <v>15</v>
      </c>
      <c r="L169">
        <f t="shared" si="10"/>
        <v>5</v>
      </c>
      <c r="M169" s="3">
        <f>Table1[[#This Row],[Quantity]]*Table1[[#This Row],[Negotiated_Price]]</f>
        <v>16749.05</v>
      </c>
      <c r="N169" s="3">
        <f>Table1[[#This Row],[Quantity]]*Table1[[#This Row],[Unit_Price]]</f>
        <v>17291.47</v>
      </c>
      <c r="O169" s="3">
        <f>Table1[[#This Row],[ Original_Spend ]]-Table1[[#This Row],[ Total_Spend ]]</f>
        <v>542.42000000000189</v>
      </c>
      <c r="P169" s="2">
        <f t="shared" si="11"/>
        <v>3.1369224247562631E-2</v>
      </c>
      <c r="Q169" s="2">
        <f t="shared" si="12"/>
        <v>0.12551159618008187</v>
      </c>
      <c r="R169" t="str">
        <f t="shared" si="13"/>
        <v>On Time</v>
      </c>
      <c r="S169" t="str">
        <f t="shared" si="14"/>
        <v>OK</v>
      </c>
    </row>
    <row r="170" spans="1:19" x14ac:dyDescent="0.25">
      <c r="A170" t="s">
        <v>195</v>
      </c>
      <c r="B170" t="s">
        <v>23</v>
      </c>
      <c r="C170" s="1">
        <v>45202</v>
      </c>
      <c r="D170" s="1">
        <v>45204</v>
      </c>
      <c r="E170" t="s">
        <v>26</v>
      </c>
      <c r="F170" t="s">
        <v>18</v>
      </c>
      <c r="G170">
        <v>1945</v>
      </c>
      <c r="H170" s="3">
        <v>103.2</v>
      </c>
      <c r="I170" s="3">
        <v>88.56</v>
      </c>
      <c r="K170" t="s">
        <v>15</v>
      </c>
      <c r="L170">
        <f t="shared" si="10"/>
        <v>2</v>
      </c>
      <c r="M170" s="3">
        <f>Table1[[#This Row],[Quantity]]*Table1[[#This Row],[Negotiated_Price]]</f>
        <v>172249.2</v>
      </c>
      <c r="N170" s="3">
        <f>Table1[[#This Row],[Quantity]]*Table1[[#This Row],[Unit_Price]]</f>
        <v>200724</v>
      </c>
      <c r="O170" s="3">
        <f>Table1[[#This Row],[ Original_Spend ]]-Table1[[#This Row],[ Total_Spend ]]</f>
        <v>28474.799999999988</v>
      </c>
      <c r="P170" s="2">
        <f t="shared" si="11"/>
        <v>0.14186046511627901</v>
      </c>
      <c r="Q170" s="2">
        <f t="shared" si="12"/>
        <v>0</v>
      </c>
      <c r="R170" t="str">
        <f t="shared" si="13"/>
        <v>On Time</v>
      </c>
      <c r="S170" t="str">
        <f t="shared" si="14"/>
        <v>OK</v>
      </c>
    </row>
    <row r="171" spans="1:19" x14ac:dyDescent="0.25">
      <c r="A171" t="s">
        <v>196</v>
      </c>
      <c r="B171" t="s">
        <v>20</v>
      </c>
      <c r="C171" s="1">
        <v>44867</v>
      </c>
      <c r="D171" s="1">
        <v>44886</v>
      </c>
      <c r="E171" t="s">
        <v>26</v>
      </c>
      <c r="F171" t="s">
        <v>18</v>
      </c>
      <c r="G171">
        <v>775</v>
      </c>
      <c r="H171" s="3">
        <v>57</v>
      </c>
      <c r="I171" s="3">
        <v>49.14</v>
      </c>
      <c r="J171">
        <v>48</v>
      </c>
      <c r="K171" t="s">
        <v>15</v>
      </c>
      <c r="L171">
        <f t="shared" si="10"/>
        <v>19</v>
      </c>
      <c r="M171" s="3">
        <f>Table1[[#This Row],[Quantity]]*Table1[[#This Row],[Negotiated_Price]]</f>
        <v>38083.5</v>
      </c>
      <c r="N171" s="3">
        <f>Table1[[#This Row],[Quantity]]*Table1[[#This Row],[Unit_Price]]</f>
        <v>44175</v>
      </c>
      <c r="O171" s="3">
        <f>Table1[[#This Row],[ Original_Spend ]]-Table1[[#This Row],[ Total_Spend ]]</f>
        <v>6091.5</v>
      </c>
      <c r="P171" s="2">
        <f t="shared" si="11"/>
        <v>0.13789473684210526</v>
      </c>
      <c r="Q171" s="2">
        <f t="shared" si="12"/>
        <v>6.1935483870967742E-2</v>
      </c>
      <c r="R171" t="str">
        <f t="shared" si="13"/>
        <v>Late</v>
      </c>
      <c r="S171" t="str">
        <f t="shared" si="14"/>
        <v>OK</v>
      </c>
    </row>
    <row r="172" spans="1:19" x14ac:dyDescent="0.25">
      <c r="A172" t="s">
        <v>197</v>
      </c>
      <c r="B172" t="s">
        <v>17</v>
      </c>
      <c r="C172" s="1">
        <v>45216</v>
      </c>
      <c r="D172" s="1">
        <v>45220</v>
      </c>
      <c r="E172" t="s">
        <v>24</v>
      </c>
      <c r="F172" t="s">
        <v>18</v>
      </c>
      <c r="G172">
        <v>1620</v>
      </c>
      <c r="H172" s="3">
        <v>36.729999999999997</v>
      </c>
      <c r="I172" s="3">
        <v>33.450000000000003</v>
      </c>
      <c r="J172">
        <v>235</v>
      </c>
      <c r="K172" t="s">
        <v>27</v>
      </c>
      <c r="L172">
        <f t="shared" si="10"/>
        <v>4</v>
      </c>
      <c r="M172" s="3">
        <f>Table1[[#This Row],[Quantity]]*Table1[[#This Row],[Negotiated_Price]]</f>
        <v>54189.000000000007</v>
      </c>
      <c r="N172" s="3">
        <f>Table1[[#This Row],[Quantity]]*Table1[[#This Row],[Unit_Price]]</f>
        <v>59502.6</v>
      </c>
      <c r="O172" s="3">
        <f>Table1[[#This Row],[ Original_Spend ]]-Table1[[#This Row],[ Total_Spend ]]</f>
        <v>5313.5999999999913</v>
      </c>
      <c r="P172" s="2">
        <f t="shared" si="11"/>
        <v>8.9300299482711537E-2</v>
      </c>
      <c r="Q172" s="2">
        <f t="shared" si="12"/>
        <v>0.14506172839506173</v>
      </c>
      <c r="R172" t="str">
        <f t="shared" si="13"/>
        <v>On Time</v>
      </c>
      <c r="S172" t="str">
        <f t="shared" si="14"/>
        <v>OK</v>
      </c>
    </row>
    <row r="173" spans="1:19" x14ac:dyDescent="0.25">
      <c r="A173" t="s">
        <v>198</v>
      </c>
      <c r="B173" t="s">
        <v>23</v>
      </c>
      <c r="C173" s="1">
        <v>45081</v>
      </c>
      <c r="D173" s="1">
        <v>45096</v>
      </c>
      <c r="E173" t="s">
        <v>13</v>
      </c>
      <c r="F173" t="s">
        <v>18</v>
      </c>
      <c r="G173">
        <v>1010</v>
      </c>
      <c r="H173" s="3">
        <v>55.68</v>
      </c>
      <c r="I173" s="3">
        <v>50.86</v>
      </c>
      <c r="K173" t="s">
        <v>15</v>
      </c>
      <c r="L173">
        <f t="shared" si="10"/>
        <v>15</v>
      </c>
      <c r="M173" s="3">
        <f>Table1[[#This Row],[Quantity]]*Table1[[#This Row],[Negotiated_Price]]</f>
        <v>51368.6</v>
      </c>
      <c r="N173" s="3">
        <f>Table1[[#This Row],[Quantity]]*Table1[[#This Row],[Unit_Price]]</f>
        <v>56236.800000000003</v>
      </c>
      <c r="O173" s="3">
        <f>Table1[[#This Row],[ Original_Spend ]]-Table1[[#This Row],[ Total_Spend ]]</f>
        <v>4868.2000000000044</v>
      </c>
      <c r="P173" s="2">
        <f t="shared" si="11"/>
        <v>8.6566091954023067E-2</v>
      </c>
      <c r="Q173" s="2">
        <f t="shared" si="12"/>
        <v>0</v>
      </c>
      <c r="R173" t="str">
        <f t="shared" si="13"/>
        <v>Late</v>
      </c>
      <c r="S173" t="str">
        <f t="shared" si="14"/>
        <v>OK</v>
      </c>
    </row>
    <row r="174" spans="1:19" x14ac:dyDescent="0.25">
      <c r="A174" t="s">
        <v>199</v>
      </c>
      <c r="B174" t="s">
        <v>29</v>
      </c>
      <c r="C174" s="1">
        <v>45185</v>
      </c>
      <c r="D174" s="1">
        <v>45200</v>
      </c>
      <c r="E174" t="s">
        <v>13</v>
      </c>
      <c r="F174" t="s">
        <v>18</v>
      </c>
      <c r="G174">
        <v>1812</v>
      </c>
      <c r="H174" s="3">
        <v>108.02</v>
      </c>
      <c r="I174" s="3">
        <v>101.02</v>
      </c>
      <c r="J174">
        <v>51</v>
      </c>
      <c r="K174" t="s">
        <v>15</v>
      </c>
      <c r="L174">
        <f t="shared" si="10"/>
        <v>15</v>
      </c>
      <c r="M174" s="3">
        <f>Table1[[#This Row],[Quantity]]*Table1[[#This Row],[Negotiated_Price]]</f>
        <v>183048.24</v>
      </c>
      <c r="N174" s="3">
        <f>Table1[[#This Row],[Quantity]]*Table1[[#This Row],[Unit_Price]]</f>
        <v>195732.24</v>
      </c>
      <c r="O174" s="3">
        <f>Table1[[#This Row],[ Original_Spend ]]-Table1[[#This Row],[ Total_Spend ]]</f>
        <v>12684</v>
      </c>
      <c r="P174" s="2">
        <f t="shared" si="11"/>
        <v>6.4802814293649327E-2</v>
      </c>
      <c r="Q174" s="2">
        <f t="shared" si="12"/>
        <v>2.8145695364238412E-2</v>
      </c>
      <c r="R174" t="str">
        <f t="shared" si="13"/>
        <v>Late</v>
      </c>
      <c r="S174" t="str">
        <f t="shared" si="14"/>
        <v>OK</v>
      </c>
    </row>
    <row r="175" spans="1:19" x14ac:dyDescent="0.25">
      <c r="A175" t="s">
        <v>200</v>
      </c>
      <c r="B175" t="s">
        <v>17</v>
      </c>
      <c r="C175" s="1">
        <v>44765</v>
      </c>
      <c r="D175" s="1">
        <v>44770</v>
      </c>
      <c r="E175" t="s">
        <v>13</v>
      </c>
      <c r="F175" t="s">
        <v>18</v>
      </c>
      <c r="G175">
        <v>662</v>
      </c>
      <c r="H175" s="3">
        <v>55.97</v>
      </c>
      <c r="I175" s="3">
        <v>50</v>
      </c>
      <c r="J175">
        <v>100</v>
      </c>
      <c r="K175" t="s">
        <v>15</v>
      </c>
      <c r="L175">
        <f t="shared" si="10"/>
        <v>5</v>
      </c>
      <c r="M175" s="3">
        <f>Table1[[#This Row],[Quantity]]*Table1[[#This Row],[Negotiated_Price]]</f>
        <v>33100</v>
      </c>
      <c r="N175" s="3">
        <f>Table1[[#This Row],[Quantity]]*Table1[[#This Row],[Unit_Price]]</f>
        <v>37052.14</v>
      </c>
      <c r="O175" s="3">
        <f>Table1[[#This Row],[ Original_Spend ]]-Table1[[#This Row],[ Total_Spend ]]</f>
        <v>3952.1399999999994</v>
      </c>
      <c r="P175" s="2">
        <f t="shared" si="11"/>
        <v>0.10666428443809182</v>
      </c>
      <c r="Q175" s="2">
        <f t="shared" si="12"/>
        <v>0.15105740181268881</v>
      </c>
      <c r="R175" t="str">
        <f t="shared" si="13"/>
        <v>On Time</v>
      </c>
      <c r="S175" t="str">
        <f t="shared" si="14"/>
        <v>OK</v>
      </c>
    </row>
    <row r="176" spans="1:19" x14ac:dyDescent="0.25">
      <c r="A176" t="s">
        <v>201</v>
      </c>
      <c r="B176" t="s">
        <v>23</v>
      </c>
      <c r="C176" s="1">
        <v>44718</v>
      </c>
      <c r="D176" s="1">
        <v>44723</v>
      </c>
      <c r="E176" t="s">
        <v>13</v>
      </c>
      <c r="F176" t="s">
        <v>35</v>
      </c>
      <c r="G176">
        <v>1535</v>
      </c>
      <c r="H176" s="3">
        <v>40.58</v>
      </c>
      <c r="I176" s="3">
        <v>38.71</v>
      </c>
      <c r="J176">
        <v>165</v>
      </c>
      <c r="K176" t="s">
        <v>15</v>
      </c>
      <c r="L176">
        <f t="shared" si="10"/>
        <v>5</v>
      </c>
      <c r="M176" s="3">
        <f>Table1[[#This Row],[Quantity]]*Table1[[#This Row],[Negotiated_Price]]</f>
        <v>59419.85</v>
      </c>
      <c r="N176" s="3">
        <f>Table1[[#This Row],[Quantity]]*Table1[[#This Row],[Unit_Price]]</f>
        <v>62290.299999999996</v>
      </c>
      <c r="O176" s="3">
        <f>Table1[[#This Row],[ Original_Spend ]]-Table1[[#This Row],[ Total_Spend ]]</f>
        <v>2870.4499999999971</v>
      </c>
      <c r="P176" s="2">
        <f t="shared" si="11"/>
        <v>4.6081813701330659E-2</v>
      </c>
      <c r="Q176" s="2">
        <f t="shared" si="12"/>
        <v>0.10749185667752444</v>
      </c>
      <c r="R176" t="str">
        <f t="shared" si="13"/>
        <v>Pending</v>
      </c>
      <c r="S176" t="str">
        <f t="shared" si="14"/>
        <v>Status-Date Conflict</v>
      </c>
    </row>
    <row r="177" spans="1:19" x14ac:dyDescent="0.25">
      <c r="A177" t="s">
        <v>202</v>
      </c>
      <c r="B177" t="s">
        <v>23</v>
      </c>
      <c r="C177" s="1">
        <v>44944</v>
      </c>
      <c r="D177" s="1">
        <v>44953</v>
      </c>
      <c r="E177" t="s">
        <v>26</v>
      </c>
      <c r="F177" t="s">
        <v>18</v>
      </c>
      <c r="G177">
        <v>692</v>
      </c>
      <c r="H177" s="3">
        <v>71.03</v>
      </c>
      <c r="I177" s="3">
        <v>67.739999999999995</v>
      </c>
      <c r="J177">
        <v>70</v>
      </c>
      <c r="K177" t="s">
        <v>15</v>
      </c>
      <c r="L177">
        <f t="shared" si="10"/>
        <v>9</v>
      </c>
      <c r="M177" s="3">
        <f>Table1[[#This Row],[Quantity]]*Table1[[#This Row],[Negotiated_Price]]</f>
        <v>46876.079999999994</v>
      </c>
      <c r="N177" s="3">
        <f>Table1[[#This Row],[Quantity]]*Table1[[#This Row],[Unit_Price]]</f>
        <v>49152.76</v>
      </c>
      <c r="O177" s="3">
        <f>Table1[[#This Row],[ Original_Spend ]]-Table1[[#This Row],[ Total_Spend ]]</f>
        <v>2276.6800000000076</v>
      </c>
      <c r="P177" s="2">
        <f t="shared" si="11"/>
        <v>4.6318456990004378E-2</v>
      </c>
      <c r="Q177" s="2">
        <f t="shared" si="12"/>
        <v>0.10115606936416185</v>
      </c>
      <c r="R177" t="str">
        <f t="shared" si="13"/>
        <v>On Time</v>
      </c>
      <c r="S177" t="str">
        <f t="shared" si="14"/>
        <v>OK</v>
      </c>
    </row>
    <row r="178" spans="1:19" x14ac:dyDescent="0.25">
      <c r="A178" t="s">
        <v>203</v>
      </c>
      <c r="B178" t="s">
        <v>20</v>
      </c>
      <c r="C178" s="1">
        <v>44727</v>
      </c>
      <c r="D178" s="1">
        <v>44740</v>
      </c>
      <c r="E178" t="s">
        <v>21</v>
      </c>
      <c r="F178" t="s">
        <v>18</v>
      </c>
      <c r="G178">
        <v>1842</v>
      </c>
      <c r="H178" s="3">
        <v>32.4</v>
      </c>
      <c r="I178" s="3">
        <v>28.08</v>
      </c>
      <c r="J178">
        <v>96</v>
      </c>
      <c r="K178" t="s">
        <v>15</v>
      </c>
      <c r="L178">
        <f t="shared" si="10"/>
        <v>13</v>
      </c>
      <c r="M178" s="3">
        <f>Table1[[#This Row],[Quantity]]*Table1[[#This Row],[Negotiated_Price]]</f>
        <v>51723.359999999993</v>
      </c>
      <c r="N178" s="3">
        <f>Table1[[#This Row],[Quantity]]*Table1[[#This Row],[Unit_Price]]</f>
        <v>59680.799999999996</v>
      </c>
      <c r="O178" s="3">
        <f>Table1[[#This Row],[ Original_Spend ]]-Table1[[#This Row],[ Total_Spend ]]</f>
        <v>7957.4400000000023</v>
      </c>
      <c r="P178" s="2">
        <f t="shared" si="11"/>
        <v>0.13333333333333339</v>
      </c>
      <c r="Q178" s="2">
        <f t="shared" si="12"/>
        <v>5.2117263843648211E-2</v>
      </c>
      <c r="R178" t="str">
        <f t="shared" si="13"/>
        <v>Late</v>
      </c>
      <c r="S178" t="str">
        <f t="shared" si="14"/>
        <v>OK</v>
      </c>
    </row>
    <row r="179" spans="1:19" x14ac:dyDescent="0.25">
      <c r="A179" t="s">
        <v>204</v>
      </c>
      <c r="B179" t="s">
        <v>23</v>
      </c>
      <c r="C179" s="1">
        <v>45114</v>
      </c>
      <c r="D179" s="1">
        <v>45125</v>
      </c>
      <c r="E179" t="s">
        <v>13</v>
      </c>
      <c r="F179" t="s">
        <v>14</v>
      </c>
      <c r="G179">
        <v>1078</v>
      </c>
      <c r="H179" s="3">
        <v>18.34</v>
      </c>
      <c r="I179" s="3">
        <v>17.41</v>
      </c>
      <c r="J179">
        <v>102</v>
      </c>
      <c r="K179" t="s">
        <v>15</v>
      </c>
      <c r="L179">
        <f t="shared" si="10"/>
        <v>11</v>
      </c>
      <c r="M179" s="3">
        <f>Table1[[#This Row],[Quantity]]*Table1[[#This Row],[Negotiated_Price]]</f>
        <v>18767.98</v>
      </c>
      <c r="N179" s="3">
        <f>Table1[[#This Row],[Quantity]]*Table1[[#This Row],[Unit_Price]]</f>
        <v>19770.52</v>
      </c>
      <c r="O179" s="3">
        <f>Table1[[#This Row],[ Original_Spend ]]-Table1[[#This Row],[ Total_Spend ]]</f>
        <v>1002.5400000000009</v>
      </c>
      <c r="P179" s="2">
        <f t="shared" si="11"/>
        <v>5.0708833151581284E-2</v>
      </c>
      <c r="Q179" s="2">
        <f t="shared" si="12"/>
        <v>9.4619666048237475E-2</v>
      </c>
      <c r="R179" t="str">
        <f t="shared" si="13"/>
        <v>Cancelled</v>
      </c>
      <c r="S179" t="str">
        <f t="shared" si="14"/>
        <v>Status-Date Conflict</v>
      </c>
    </row>
    <row r="180" spans="1:19" x14ac:dyDescent="0.25">
      <c r="A180" t="s">
        <v>205</v>
      </c>
      <c r="B180" t="s">
        <v>17</v>
      </c>
      <c r="C180" s="1">
        <v>45105</v>
      </c>
      <c r="D180" s="1">
        <v>45123</v>
      </c>
      <c r="E180" t="s">
        <v>24</v>
      </c>
      <c r="F180" t="s">
        <v>18</v>
      </c>
      <c r="G180">
        <v>1291</v>
      </c>
      <c r="H180" s="3">
        <v>23.44</v>
      </c>
      <c r="I180" s="3">
        <v>22.23</v>
      </c>
      <c r="K180" t="s">
        <v>15</v>
      </c>
      <c r="L180">
        <f t="shared" si="10"/>
        <v>18</v>
      </c>
      <c r="M180" s="3">
        <f>Table1[[#This Row],[Quantity]]*Table1[[#This Row],[Negotiated_Price]]</f>
        <v>28698.93</v>
      </c>
      <c r="N180" s="3">
        <f>Table1[[#This Row],[Quantity]]*Table1[[#This Row],[Unit_Price]]</f>
        <v>30261.040000000001</v>
      </c>
      <c r="O180" s="3">
        <f>Table1[[#This Row],[ Original_Spend ]]-Table1[[#This Row],[ Total_Spend ]]</f>
        <v>1562.1100000000006</v>
      </c>
      <c r="P180" s="2">
        <f t="shared" si="11"/>
        <v>5.1621160409556333E-2</v>
      </c>
      <c r="Q180" s="2">
        <f t="shared" si="12"/>
        <v>0</v>
      </c>
      <c r="R180" t="str">
        <f t="shared" si="13"/>
        <v>Late</v>
      </c>
      <c r="S180" t="str">
        <f t="shared" si="14"/>
        <v>OK</v>
      </c>
    </row>
    <row r="181" spans="1:19" x14ac:dyDescent="0.25">
      <c r="A181" t="s">
        <v>206</v>
      </c>
      <c r="B181" t="s">
        <v>12</v>
      </c>
      <c r="C181" s="1">
        <v>44562</v>
      </c>
      <c r="D181" s="1">
        <v>44573</v>
      </c>
      <c r="E181" t="s">
        <v>39</v>
      </c>
      <c r="F181" t="s">
        <v>18</v>
      </c>
      <c r="G181">
        <v>552</v>
      </c>
      <c r="H181" s="3">
        <v>21.52</v>
      </c>
      <c r="I181" s="3">
        <v>18.79</v>
      </c>
      <c r="J181">
        <v>13</v>
      </c>
      <c r="K181" t="s">
        <v>15</v>
      </c>
      <c r="L181">
        <f t="shared" si="10"/>
        <v>11</v>
      </c>
      <c r="M181" s="3">
        <f>Table1[[#This Row],[Quantity]]*Table1[[#This Row],[Negotiated_Price]]</f>
        <v>10372.08</v>
      </c>
      <c r="N181" s="3">
        <f>Table1[[#This Row],[Quantity]]*Table1[[#This Row],[Unit_Price]]</f>
        <v>11879.039999999999</v>
      </c>
      <c r="O181" s="3">
        <f>Table1[[#This Row],[ Original_Spend ]]-Table1[[#This Row],[ Total_Spend ]]</f>
        <v>1506.9599999999991</v>
      </c>
      <c r="P181" s="2">
        <f t="shared" si="11"/>
        <v>0.1268587360594795</v>
      </c>
      <c r="Q181" s="2">
        <f t="shared" si="12"/>
        <v>2.355072463768116E-2</v>
      </c>
      <c r="R181" t="str">
        <f t="shared" si="13"/>
        <v>Late</v>
      </c>
      <c r="S181" t="str">
        <f t="shared" si="14"/>
        <v>OK</v>
      </c>
    </row>
    <row r="182" spans="1:19" x14ac:dyDescent="0.25">
      <c r="A182" t="s">
        <v>207</v>
      </c>
      <c r="B182" t="s">
        <v>29</v>
      </c>
      <c r="C182" s="1">
        <v>45175</v>
      </c>
      <c r="D182" s="1">
        <v>45191</v>
      </c>
      <c r="E182" t="s">
        <v>39</v>
      </c>
      <c r="F182" t="s">
        <v>18</v>
      </c>
      <c r="G182">
        <v>816</v>
      </c>
      <c r="H182" s="3">
        <v>26.04</v>
      </c>
      <c r="I182" s="3">
        <v>25.61</v>
      </c>
      <c r="J182">
        <v>28</v>
      </c>
      <c r="K182" t="s">
        <v>15</v>
      </c>
      <c r="L182">
        <f t="shared" si="10"/>
        <v>16</v>
      </c>
      <c r="M182" s="3">
        <f>Table1[[#This Row],[Quantity]]*Table1[[#This Row],[Negotiated_Price]]</f>
        <v>20897.759999999998</v>
      </c>
      <c r="N182" s="3">
        <f>Table1[[#This Row],[Quantity]]*Table1[[#This Row],[Unit_Price]]</f>
        <v>21248.639999999999</v>
      </c>
      <c r="O182" s="3">
        <f>Table1[[#This Row],[ Original_Spend ]]-Table1[[#This Row],[ Total_Spend ]]</f>
        <v>350.88000000000102</v>
      </c>
      <c r="P182" s="2">
        <f t="shared" si="11"/>
        <v>1.651305683563753E-2</v>
      </c>
      <c r="Q182" s="2">
        <f t="shared" si="12"/>
        <v>3.4313725490196081E-2</v>
      </c>
      <c r="R182" t="str">
        <f t="shared" si="13"/>
        <v>Late</v>
      </c>
      <c r="S182" t="str">
        <f t="shared" si="14"/>
        <v>OK</v>
      </c>
    </row>
    <row r="183" spans="1:19" x14ac:dyDescent="0.25">
      <c r="A183" t="s">
        <v>208</v>
      </c>
      <c r="B183" t="s">
        <v>17</v>
      </c>
      <c r="C183" s="1">
        <v>44893</v>
      </c>
      <c r="D183" s="1">
        <v>44895</v>
      </c>
      <c r="E183" t="s">
        <v>24</v>
      </c>
      <c r="F183" t="s">
        <v>18</v>
      </c>
      <c r="G183">
        <v>447</v>
      </c>
      <c r="H183" s="3">
        <v>23.62</v>
      </c>
      <c r="I183" s="3">
        <v>21.81</v>
      </c>
      <c r="J183">
        <v>50</v>
      </c>
      <c r="K183" t="s">
        <v>15</v>
      </c>
      <c r="L183">
        <f t="shared" si="10"/>
        <v>2</v>
      </c>
      <c r="M183" s="3">
        <f>Table1[[#This Row],[Quantity]]*Table1[[#This Row],[Negotiated_Price]]</f>
        <v>9749.07</v>
      </c>
      <c r="N183" s="3">
        <f>Table1[[#This Row],[Quantity]]*Table1[[#This Row],[Unit_Price]]</f>
        <v>10558.140000000001</v>
      </c>
      <c r="O183" s="3">
        <f>Table1[[#This Row],[ Original_Spend ]]-Table1[[#This Row],[ Total_Spend ]]</f>
        <v>809.07000000000153</v>
      </c>
      <c r="P183" s="2">
        <f t="shared" si="11"/>
        <v>7.6629974597798606E-2</v>
      </c>
      <c r="Q183" s="2">
        <f t="shared" si="12"/>
        <v>0.11185682326621924</v>
      </c>
      <c r="R183" t="str">
        <f t="shared" si="13"/>
        <v>On Time</v>
      </c>
      <c r="S183" t="str">
        <f t="shared" si="14"/>
        <v>OK</v>
      </c>
    </row>
    <row r="184" spans="1:19" x14ac:dyDescent="0.25">
      <c r="A184" t="s">
        <v>209</v>
      </c>
      <c r="B184" t="s">
        <v>17</v>
      </c>
      <c r="C184" s="1">
        <v>45062</v>
      </c>
      <c r="D184" s="1">
        <v>45070</v>
      </c>
      <c r="E184" t="s">
        <v>24</v>
      </c>
      <c r="F184" t="s">
        <v>33</v>
      </c>
      <c r="G184">
        <v>920</v>
      </c>
      <c r="H184" s="3">
        <v>73.09</v>
      </c>
      <c r="I184" s="3">
        <v>70.14</v>
      </c>
      <c r="K184" t="s">
        <v>15</v>
      </c>
      <c r="L184">
        <f t="shared" si="10"/>
        <v>8</v>
      </c>
      <c r="M184" s="3">
        <f>Table1[[#This Row],[Quantity]]*Table1[[#This Row],[Negotiated_Price]]</f>
        <v>64528.800000000003</v>
      </c>
      <c r="N184" s="3">
        <f>Table1[[#This Row],[Quantity]]*Table1[[#This Row],[Unit_Price]]</f>
        <v>67242.8</v>
      </c>
      <c r="O184" s="3">
        <f>Table1[[#This Row],[ Original_Spend ]]-Table1[[#This Row],[ Total_Spend ]]</f>
        <v>2714</v>
      </c>
      <c r="P184" s="2">
        <f t="shared" si="11"/>
        <v>4.0361198522369676E-2</v>
      </c>
      <c r="Q184" s="2">
        <f t="shared" si="12"/>
        <v>0</v>
      </c>
      <c r="R184" t="str">
        <f t="shared" si="13"/>
        <v>Partially Delivered</v>
      </c>
      <c r="S184" t="str">
        <f t="shared" si="14"/>
        <v>Status-Date Conflict</v>
      </c>
    </row>
    <row r="185" spans="1:19" x14ac:dyDescent="0.25">
      <c r="A185" t="s">
        <v>210</v>
      </c>
      <c r="B185" t="s">
        <v>29</v>
      </c>
      <c r="C185" s="1">
        <v>44581</v>
      </c>
      <c r="D185" s="1">
        <v>44591</v>
      </c>
      <c r="E185" t="s">
        <v>24</v>
      </c>
      <c r="F185" t="s">
        <v>33</v>
      </c>
      <c r="G185">
        <v>844</v>
      </c>
      <c r="H185" s="3">
        <v>26.37</v>
      </c>
      <c r="I185" s="3">
        <v>25.08</v>
      </c>
      <c r="J185">
        <v>38</v>
      </c>
      <c r="K185" t="s">
        <v>15</v>
      </c>
      <c r="L185">
        <f t="shared" si="10"/>
        <v>10</v>
      </c>
      <c r="M185" s="3">
        <f>Table1[[#This Row],[Quantity]]*Table1[[#This Row],[Negotiated_Price]]</f>
        <v>21167.519999999997</v>
      </c>
      <c r="N185" s="3">
        <f>Table1[[#This Row],[Quantity]]*Table1[[#This Row],[Unit_Price]]</f>
        <v>22256.280000000002</v>
      </c>
      <c r="O185" s="3">
        <f>Table1[[#This Row],[ Original_Spend ]]-Table1[[#This Row],[ Total_Spend ]]</f>
        <v>1088.7600000000057</v>
      </c>
      <c r="P185" s="2">
        <f t="shared" si="11"/>
        <v>4.8919226393629375E-2</v>
      </c>
      <c r="Q185" s="2">
        <f t="shared" si="12"/>
        <v>4.5023696682464455E-2</v>
      </c>
      <c r="R185" t="str">
        <f t="shared" si="13"/>
        <v>Partially Delivered</v>
      </c>
      <c r="S185" t="str">
        <f t="shared" si="14"/>
        <v>Status-Date Conflict</v>
      </c>
    </row>
    <row r="186" spans="1:19" x14ac:dyDescent="0.25">
      <c r="A186" t="s">
        <v>211</v>
      </c>
      <c r="B186" t="s">
        <v>29</v>
      </c>
      <c r="C186" s="1">
        <v>44676</v>
      </c>
      <c r="E186" t="s">
        <v>21</v>
      </c>
      <c r="F186" t="s">
        <v>18</v>
      </c>
      <c r="G186">
        <v>442</v>
      </c>
      <c r="H186" s="3">
        <v>41.73</v>
      </c>
      <c r="I186" s="3">
        <v>36.450000000000003</v>
      </c>
      <c r="J186">
        <v>15</v>
      </c>
      <c r="K186" t="s">
        <v>15</v>
      </c>
      <c r="L186" t="str">
        <f t="shared" si="10"/>
        <v/>
      </c>
      <c r="M186" s="3">
        <f>Table1[[#This Row],[Quantity]]*Table1[[#This Row],[Negotiated_Price]]</f>
        <v>16110.900000000001</v>
      </c>
      <c r="N186" s="3">
        <f>Table1[[#This Row],[Quantity]]*Table1[[#This Row],[Unit_Price]]</f>
        <v>18444.66</v>
      </c>
      <c r="O186" s="3">
        <f>Table1[[#This Row],[ Original_Spend ]]-Table1[[#This Row],[ Total_Spend ]]</f>
        <v>2333.7599999999984</v>
      </c>
      <c r="P186" s="2">
        <f t="shared" si="11"/>
        <v>0.126527677929547</v>
      </c>
      <c r="Q186" s="2">
        <f t="shared" si="12"/>
        <v>3.3936651583710405E-2</v>
      </c>
      <c r="R186" t="str">
        <f t="shared" si="13"/>
        <v>Missing Delivery Date</v>
      </c>
      <c r="S186" t="str">
        <f t="shared" si="14"/>
        <v>Missing Delivery Date</v>
      </c>
    </row>
    <row r="187" spans="1:19" x14ac:dyDescent="0.25">
      <c r="A187" t="s">
        <v>212</v>
      </c>
      <c r="B187" t="s">
        <v>23</v>
      </c>
      <c r="C187" s="1">
        <v>44933</v>
      </c>
      <c r="D187" s="1">
        <v>44947</v>
      </c>
      <c r="E187" t="s">
        <v>39</v>
      </c>
      <c r="F187" t="s">
        <v>14</v>
      </c>
      <c r="G187">
        <v>256</v>
      </c>
      <c r="H187" s="3">
        <v>96.15</v>
      </c>
      <c r="I187" s="3">
        <v>83.44</v>
      </c>
      <c r="J187">
        <v>26</v>
      </c>
      <c r="K187" t="s">
        <v>15</v>
      </c>
      <c r="L187">
        <f t="shared" si="10"/>
        <v>14</v>
      </c>
      <c r="M187" s="3">
        <f>Table1[[#This Row],[Quantity]]*Table1[[#This Row],[Negotiated_Price]]</f>
        <v>21360.639999999999</v>
      </c>
      <c r="N187" s="3">
        <f>Table1[[#This Row],[Quantity]]*Table1[[#This Row],[Unit_Price]]</f>
        <v>24614.400000000001</v>
      </c>
      <c r="O187" s="3">
        <f>Table1[[#This Row],[ Original_Spend ]]-Table1[[#This Row],[ Total_Spend ]]</f>
        <v>3253.760000000002</v>
      </c>
      <c r="P187" s="2">
        <f t="shared" si="11"/>
        <v>0.13218928757150294</v>
      </c>
      <c r="Q187" s="2">
        <f t="shared" si="12"/>
        <v>0.1015625</v>
      </c>
      <c r="R187" t="str">
        <f t="shared" si="13"/>
        <v>Cancelled</v>
      </c>
      <c r="S187" t="str">
        <f t="shared" si="14"/>
        <v>Status-Date Conflict</v>
      </c>
    </row>
    <row r="188" spans="1:19" x14ac:dyDescent="0.25">
      <c r="A188" t="s">
        <v>213</v>
      </c>
      <c r="B188" t="s">
        <v>17</v>
      </c>
      <c r="C188" s="1">
        <v>44876</v>
      </c>
      <c r="E188" t="s">
        <v>21</v>
      </c>
      <c r="F188" t="s">
        <v>33</v>
      </c>
      <c r="G188">
        <v>1088</v>
      </c>
      <c r="H188" s="3">
        <v>55.29</v>
      </c>
      <c r="I188" s="3">
        <v>53.04</v>
      </c>
      <c r="J188">
        <v>161</v>
      </c>
      <c r="K188" t="s">
        <v>27</v>
      </c>
      <c r="L188" t="str">
        <f t="shared" si="10"/>
        <v/>
      </c>
      <c r="M188" s="3">
        <f>Table1[[#This Row],[Quantity]]*Table1[[#This Row],[Negotiated_Price]]</f>
        <v>57707.519999999997</v>
      </c>
      <c r="N188" s="3">
        <f>Table1[[#This Row],[Quantity]]*Table1[[#This Row],[Unit_Price]]</f>
        <v>60155.519999999997</v>
      </c>
      <c r="O188" s="3">
        <f>Table1[[#This Row],[ Original_Spend ]]-Table1[[#This Row],[ Total_Spend ]]</f>
        <v>2448</v>
      </c>
      <c r="P188" s="2">
        <f t="shared" si="11"/>
        <v>4.0694519804666304E-2</v>
      </c>
      <c r="Q188" s="2">
        <f t="shared" si="12"/>
        <v>0.14797794117647059</v>
      </c>
      <c r="R188" t="str">
        <f t="shared" si="13"/>
        <v>Partially Delivered</v>
      </c>
      <c r="S188" t="str">
        <f t="shared" si="14"/>
        <v>OK</v>
      </c>
    </row>
    <row r="189" spans="1:19" x14ac:dyDescent="0.25">
      <c r="A189" t="s">
        <v>214</v>
      </c>
      <c r="B189" t="s">
        <v>23</v>
      </c>
      <c r="C189" s="1">
        <v>44807</v>
      </c>
      <c r="D189" s="1">
        <v>44811</v>
      </c>
      <c r="E189" t="s">
        <v>13</v>
      </c>
      <c r="F189" t="s">
        <v>18</v>
      </c>
      <c r="G189">
        <v>1931</v>
      </c>
      <c r="H189" s="3">
        <v>72.88</v>
      </c>
      <c r="I189" s="3">
        <v>64.69</v>
      </c>
      <c r="J189">
        <v>187</v>
      </c>
      <c r="K189" t="s">
        <v>15</v>
      </c>
      <c r="L189">
        <f t="shared" si="10"/>
        <v>4</v>
      </c>
      <c r="M189" s="3">
        <f>Table1[[#This Row],[Quantity]]*Table1[[#This Row],[Negotiated_Price]]</f>
        <v>124916.39</v>
      </c>
      <c r="N189" s="3">
        <f>Table1[[#This Row],[Quantity]]*Table1[[#This Row],[Unit_Price]]</f>
        <v>140731.28</v>
      </c>
      <c r="O189" s="3">
        <f>Table1[[#This Row],[ Original_Spend ]]-Table1[[#This Row],[ Total_Spend ]]</f>
        <v>15814.89</v>
      </c>
      <c r="P189" s="2">
        <f t="shared" si="11"/>
        <v>0.11237650933040615</v>
      </c>
      <c r="Q189" s="2">
        <f t="shared" si="12"/>
        <v>9.6841015018125323E-2</v>
      </c>
      <c r="R189" t="str">
        <f t="shared" si="13"/>
        <v>On Time</v>
      </c>
      <c r="S189" t="str">
        <f t="shared" si="14"/>
        <v>OK</v>
      </c>
    </row>
    <row r="190" spans="1:19" x14ac:dyDescent="0.25">
      <c r="A190" t="s">
        <v>215</v>
      </c>
      <c r="B190" t="s">
        <v>20</v>
      </c>
      <c r="C190" s="1">
        <v>44621</v>
      </c>
      <c r="D190" s="1">
        <v>44631</v>
      </c>
      <c r="E190" t="s">
        <v>39</v>
      </c>
      <c r="F190" t="s">
        <v>18</v>
      </c>
      <c r="G190">
        <v>1627</v>
      </c>
      <c r="H190" s="3">
        <v>25.76</v>
      </c>
      <c r="I190" s="3">
        <v>25.09</v>
      </c>
      <c r="J190">
        <v>74</v>
      </c>
      <c r="K190" t="s">
        <v>15</v>
      </c>
      <c r="L190">
        <f t="shared" si="10"/>
        <v>10</v>
      </c>
      <c r="M190" s="3">
        <f>Table1[[#This Row],[Quantity]]*Table1[[#This Row],[Negotiated_Price]]</f>
        <v>40821.43</v>
      </c>
      <c r="N190" s="3">
        <f>Table1[[#This Row],[Quantity]]*Table1[[#This Row],[Unit_Price]]</f>
        <v>41911.520000000004</v>
      </c>
      <c r="O190" s="3">
        <f>Table1[[#This Row],[ Original_Spend ]]-Table1[[#This Row],[ Total_Spend ]]</f>
        <v>1090.0900000000038</v>
      </c>
      <c r="P190" s="2">
        <f t="shared" si="11"/>
        <v>2.6009316770186423E-2</v>
      </c>
      <c r="Q190" s="2">
        <f t="shared" si="12"/>
        <v>4.5482483097725873E-2</v>
      </c>
      <c r="R190" t="str">
        <f t="shared" si="13"/>
        <v>On Time</v>
      </c>
      <c r="S190" t="str">
        <f t="shared" si="14"/>
        <v>OK</v>
      </c>
    </row>
    <row r="191" spans="1:19" x14ac:dyDescent="0.25">
      <c r="A191" t="s">
        <v>216</v>
      </c>
      <c r="B191" t="s">
        <v>23</v>
      </c>
      <c r="C191" s="1">
        <v>44808</v>
      </c>
      <c r="E191" t="s">
        <v>24</v>
      </c>
      <c r="F191" t="s">
        <v>18</v>
      </c>
      <c r="G191">
        <v>941</v>
      </c>
      <c r="H191" s="3">
        <v>28.4</v>
      </c>
      <c r="I191" s="3">
        <v>27.21</v>
      </c>
      <c r="K191" t="s">
        <v>27</v>
      </c>
      <c r="L191" t="str">
        <f t="shared" si="10"/>
        <v/>
      </c>
      <c r="M191" s="3">
        <f>Table1[[#This Row],[Quantity]]*Table1[[#This Row],[Negotiated_Price]]</f>
        <v>25604.61</v>
      </c>
      <c r="N191" s="3">
        <f>Table1[[#This Row],[Quantity]]*Table1[[#This Row],[Unit_Price]]</f>
        <v>26724.399999999998</v>
      </c>
      <c r="O191" s="3">
        <f>Table1[[#This Row],[ Original_Spend ]]-Table1[[#This Row],[ Total_Spend ]]</f>
        <v>1119.7899999999972</v>
      </c>
      <c r="P191" s="2">
        <f t="shared" si="11"/>
        <v>4.1901408450704128E-2</v>
      </c>
      <c r="Q191" s="2">
        <f t="shared" si="12"/>
        <v>0</v>
      </c>
      <c r="R191" t="str">
        <f t="shared" si="13"/>
        <v>Missing Delivery Date</v>
      </c>
      <c r="S191" t="str">
        <f t="shared" si="14"/>
        <v>Missing Delivery Date</v>
      </c>
    </row>
    <row r="192" spans="1:19" x14ac:dyDescent="0.25">
      <c r="A192" t="s">
        <v>217</v>
      </c>
      <c r="B192" t="s">
        <v>20</v>
      </c>
      <c r="C192" s="1">
        <v>45142</v>
      </c>
      <c r="D192" s="1">
        <v>45144</v>
      </c>
      <c r="E192" t="s">
        <v>21</v>
      </c>
      <c r="F192" t="s">
        <v>18</v>
      </c>
      <c r="G192">
        <v>1534</v>
      </c>
      <c r="H192" s="3">
        <v>14.98</v>
      </c>
      <c r="I192" s="3">
        <v>12.79</v>
      </c>
      <c r="K192" t="s">
        <v>15</v>
      </c>
      <c r="L192">
        <f t="shared" si="10"/>
        <v>2</v>
      </c>
      <c r="M192" s="3">
        <f>Table1[[#This Row],[Quantity]]*Table1[[#This Row],[Negotiated_Price]]</f>
        <v>19619.859999999997</v>
      </c>
      <c r="N192" s="3">
        <f>Table1[[#This Row],[Quantity]]*Table1[[#This Row],[Unit_Price]]</f>
        <v>22979.32</v>
      </c>
      <c r="O192" s="3">
        <f>Table1[[#This Row],[ Original_Spend ]]-Table1[[#This Row],[ Total_Spend ]]</f>
        <v>3359.4600000000028</v>
      </c>
      <c r="P192" s="2">
        <f t="shared" si="11"/>
        <v>0.14619492656875846</v>
      </c>
      <c r="Q192" s="2">
        <f t="shared" si="12"/>
        <v>0</v>
      </c>
      <c r="R192" t="str">
        <f t="shared" si="13"/>
        <v>On Time</v>
      </c>
      <c r="S192" t="str">
        <f t="shared" si="14"/>
        <v>OK</v>
      </c>
    </row>
    <row r="193" spans="1:19" x14ac:dyDescent="0.25">
      <c r="A193" t="s">
        <v>218</v>
      </c>
      <c r="B193" t="s">
        <v>12</v>
      </c>
      <c r="C193" s="1">
        <v>44642</v>
      </c>
      <c r="D193" s="1">
        <v>44654</v>
      </c>
      <c r="E193" t="s">
        <v>26</v>
      </c>
      <c r="F193" t="s">
        <v>18</v>
      </c>
      <c r="G193">
        <v>1764</v>
      </c>
      <c r="H193" s="3">
        <v>25.46</v>
      </c>
      <c r="I193" s="3">
        <v>24.52</v>
      </c>
      <c r="J193">
        <v>46</v>
      </c>
      <c r="K193" t="s">
        <v>15</v>
      </c>
      <c r="L193">
        <f t="shared" si="10"/>
        <v>12</v>
      </c>
      <c r="M193" s="3">
        <f>Table1[[#This Row],[Quantity]]*Table1[[#This Row],[Negotiated_Price]]</f>
        <v>43253.279999999999</v>
      </c>
      <c r="N193" s="3">
        <f>Table1[[#This Row],[Quantity]]*Table1[[#This Row],[Unit_Price]]</f>
        <v>44911.44</v>
      </c>
      <c r="O193" s="3">
        <f>Table1[[#This Row],[ Original_Spend ]]-Table1[[#This Row],[ Total_Spend ]]</f>
        <v>1658.1600000000035</v>
      </c>
      <c r="P193" s="2">
        <f t="shared" si="11"/>
        <v>3.6920659858601802E-2</v>
      </c>
      <c r="Q193" s="2">
        <f t="shared" si="12"/>
        <v>2.6077097505668934E-2</v>
      </c>
      <c r="R193" t="str">
        <f t="shared" si="13"/>
        <v>Late</v>
      </c>
      <c r="S193" t="str">
        <f t="shared" si="14"/>
        <v>OK</v>
      </c>
    </row>
    <row r="194" spans="1:19" x14ac:dyDescent="0.25">
      <c r="A194" t="s">
        <v>219</v>
      </c>
      <c r="B194" t="s">
        <v>17</v>
      </c>
      <c r="C194" s="1">
        <v>44649</v>
      </c>
      <c r="D194" s="1">
        <v>44657</v>
      </c>
      <c r="E194" t="s">
        <v>39</v>
      </c>
      <c r="F194" t="s">
        <v>18</v>
      </c>
      <c r="G194">
        <v>1648</v>
      </c>
      <c r="H194" s="3">
        <v>35.42</v>
      </c>
      <c r="I194" s="3">
        <v>31.46</v>
      </c>
      <c r="K194" t="s">
        <v>27</v>
      </c>
      <c r="L194">
        <f t="shared" ref="L194:L257" si="15">IF(OR(C194="",D194=""),"",D194-C194)</f>
        <v>8</v>
      </c>
      <c r="M194" s="3">
        <f>Table1[[#This Row],[Quantity]]*Table1[[#This Row],[Negotiated_Price]]</f>
        <v>51846.080000000002</v>
      </c>
      <c r="N194" s="3">
        <f>Table1[[#This Row],[Quantity]]*Table1[[#This Row],[Unit_Price]]</f>
        <v>58372.160000000003</v>
      </c>
      <c r="O194" s="3">
        <f>Table1[[#This Row],[ Original_Spend ]]-Table1[[#This Row],[ Total_Spend ]]</f>
        <v>6526.0800000000017</v>
      </c>
      <c r="P194" s="2">
        <f t="shared" ref="P194:P257" si="16">IFERROR(O194/N194,0)</f>
        <v>0.11180124223602486</v>
      </c>
      <c r="Q194" s="2">
        <f t="shared" ref="Q194:Q257" si="17">IFERROR(J194/G194,0)</f>
        <v>0</v>
      </c>
      <c r="R194" t="str">
        <f t="shared" si="13"/>
        <v>On Time</v>
      </c>
      <c r="S194" t="str">
        <f t="shared" si="14"/>
        <v>OK</v>
      </c>
    </row>
    <row r="195" spans="1:19" x14ac:dyDescent="0.25">
      <c r="A195" t="s">
        <v>220</v>
      </c>
      <c r="B195" t="s">
        <v>20</v>
      </c>
      <c r="C195" s="1">
        <v>45059</v>
      </c>
      <c r="D195" s="1">
        <v>45078</v>
      </c>
      <c r="E195" t="s">
        <v>24</v>
      </c>
      <c r="F195" t="s">
        <v>18</v>
      </c>
      <c r="G195">
        <v>913</v>
      </c>
      <c r="H195" s="3">
        <v>28.01</v>
      </c>
      <c r="I195" s="3">
        <v>24.06</v>
      </c>
      <c r="J195">
        <v>53</v>
      </c>
      <c r="K195" t="s">
        <v>15</v>
      </c>
      <c r="L195">
        <f t="shared" si="15"/>
        <v>19</v>
      </c>
      <c r="M195" s="3">
        <f>Table1[[#This Row],[Quantity]]*Table1[[#This Row],[Negotiated_Price]]</f>
        <v>21966.78</v>
      </c>
      <c r="N195" s="3">
        <f>Table1[[#This Row],[Quantity]]*Table1[[#This Row],[Unit_Price]]</f>
        <v>25573.13</v>
      </c>
      <c r="O195" s="3">
        <f>Table1[[#This Row],[ Original_Spend ]]-Table1[[#This Row],[ Total_Spend ]]</f>
        <v>3606.3500000000022</v>
      </c>
      <c r="P195" s="2">
        <f t="shared" si="16"/>
        <v>0.14102106390574803</v>
      </c>
      <c r="Q195" s="2">
        <f t="shared" si="17"/>
        <v>5.8050383351588172E-2</v>
      </c>
      <c r="R195" t="str">
        <f t="shared" ref="R195:R258" si="18">IF(F195&lt;&gt;"Delivered",F195,IF(D195="","Missing Delivery Date",IF(L195&lt;=10,"On Time","Late")))</f>
        <v>Late</v>
      </c>
      <c r="S195" t="str">
        <f t="shared" ref="S195:S258" si="19">IF(AND(F195&lt;&gt;"Delivered",D195&lt;&gt;""),"Status-Date Conflict",IF(AND(F195="Delivered",D195=""),"Missing Delivery Date","OK"))</f>
        <v>OK</v>
      </c>
    </row>
    <row r="196" spans="1:19" x14ac:dyDescent="0.25">
      <c r="A196" t="s">
        <v>221</v>
      </c>
      <c r="B196" t="s">
        <v>12</v>
      </c>
      <c r="C196" s="1">
        <v>44632</v>
      </c>
      <c r="D196" s="1">
        <v>44638</v>
      </c>
      <c r="E196" t="s">
        <v>24</v>
      </c>
      <c r="F196" t="s">
        <v>14</v>
      </c>
      <c r="G196">
        <v>792</v>
      </c>
      <c r="H196" s="3">
        <v>18.16</v>
      </c>
      <c r="I196" s="3">
        <v>17.25</v>
      </c>
      <c r="J196">
        <v>17</v>
      </c>
      <c r="K196" t="s">
        <v>15</v>
      </c>
      <c r="L196">
        <f t="shared" si="15"/>
        <v>6</v>
      </c>
      <c r="M196" s="3">
        <f>Table1[[#This Row],[Quantity]]*Table1[[#This Row],[Negotiated_Price]]</f>
        <v>13662</v>
      </c>
      <c r="N196" s="3">
        <f>Table1[[#This Row],[Quantity]]*Table1[[#This Row],[Unit_Price]]</f>
        <v>14382.72</v>
      </c>
      <c r="O196" s="3">
        <f>Table1[[#This Row],[ Original_Spend ]]-Table1[[#This Row],[ Total_Spend ]]</f>
        <v>720.71999999999935</v>
      </c>
      <c r="P196" s="2">
        <f t="shared" si="16"/>
        <v>5.0110132158590268E-2</v>
      </c>
      <c r="Q196" s="2">
        <f t="shared" si="17"/>
        <v>2.1464646464646464E-2</v>
      </c>
      <c r="R196" t="str">
        <f t="shared" si="18"/>
        <v>Cancelled</v>
      </c>
      <c r="S196" t="str">
        <f t="shared" si="19"/>
        <v>Status-Date Conflict</v>
      </c>
    </row>
    <row r="197" spans="1:19" x14ac:dyDescent="0.25">
      <c r="A197" t="s">
        <v>222</v>
      </c>
      <c r="B197" t="s">
        <v>29</v>
      </c>
      <c r="C197" s="1">
        <v>45107</v>
      </c>
      <c r="D197" s="1">
        <v>45110</v>
      </c>
      <c r="E197" t="s">
        <v>13</v>
      </c>
      <c r="F197" t="s">
        <v>33</v>
      </c>
      <c r="G197">
        <v>1314</v>
      </c>
      <c r="H197" s="3">
        <v>22.63</v>
      </c>
      <c r="I197" s="3">
        <v>21.06</v>
      </c>
      <c r="J197">
        <v>44</v>
      </c>
      <c r="K197" t="s">
        <v>15</v>
      </c>
      <c r="L197">
        <f t="shared" si="15"/>
        <v>3</v>
      </c>
      <c r="M197" s="3">
        <f>Table1[[#This Row],[Quantity]]*Table1[[#This Row],[Negotiated_Price]]</f>
        <v>27672.839999999997</v>
      </c>
      <c r="N197" s="3">
        <f>Table1[[#This Row],[Quantity]]*Table1[[#This Row],[Unit_Price]]</f>
        <v>29735.82</v>
      </c>
      <c r="O197" s="3">
        <f>Table1[[#This Row],[ Original_Spend ]]-Table1[[#This Row],[ Total_Spend ]]</f>
        <v>2062.9800000000032</v>
      </c>
      <c r="P197" s="2">
        <f t="shared" si="16"/>
        <v>6.9376933274414604E-2</v>
      </c>
      <c r="Q197" s="2">
        <f t="shared" si="17"/>
        <v>3.3485540334855401E-2</v>
      </c>
      <c r="R197" t="str">
        <f t="shared" si="18"/>
        <v>Partially Delivered</v>
      </c>
      <c r="S197" t="str">
        <f t="shared" si="19"/>
        <v>Status-Date Conflict</v>
      </c>
    </row>
    <row r="198" spans="1:19" x14ac:dyDescent="0.25">
      <c r="A198" t="s">
        <v>223</v>
      </c>
      <c r="B198" t="s">
        <v>23</v>
      </c>
      <c r="C198" s="1">
        <v>44690</v>
      </c>
      <c r="D198" s="1">
        <v>44703</v>
      </c>
      <c r="E198" t="s">
        <v>21</v>
      </c>
      <c r="F198" t="s">
        <v>18</v>
      </c>
      <c r="G198">
        <v>613</v>
      </c>
      <c r="H198" s="3">
        <v>52.5</v>
      </c>
      <c r="I198" s="3">
        <v>45.19</v>
      </c>
      <c r="J198">
        <v>70</v>
      </c>
      <c r="K198" t="s">
        <v>15</v>
      </c>
      <c r="L198">
        <f t="shared" si="15"/>
        <v>13</v>
      </c>
      <c r="M198" s="3">
        <f>Table1[[#This Row],[Quantity]]*Table1[[#This Row],[Negotiated_Price]]</f>
        <v>27701.469999999998</v>
      </c>
      <c r="N198" s="3">
        <f>Table1[[#This Row],[Quantity]]*Table1[[#This Row],[Unit_Price]]</f>
        <v>32182.5</v>
      </c>
      <c r="O198" s="3">
        <f>Table1[[#This Row],[ Original_Spend ]]-Table1[[#This Row],[ Total_Spend ]]</f>
        <v>4481.0300000000025</v>
      </c>
      <c r="P198" s="2">
        <f t="shared" si="16"/>
        <v>0.13923809523809533</v>
      </c>
      <c r="Q198" s="2">
        <f t="shared" si="17"/>
        <v>0.11419249592169657</v>
      </c>
      <c r="R198" t="str">
        <f t="shared" si="18"/>
        <v>Late</v>
      </c>
      <c r="S198" t="str">
        <f t="shared" si="19"/>
        <v>OK</v>
      </c>
    </row>
    <row r="199" spans="1:19" x14ac:dyDescent="0.25">
      <c r="A199" t="s">
        <v>224</v>
      </c>
      <c r="B199" t="s">
        <v>12</v>
      </c>
      <c r="C199" s="1">
        <v>44693</v>
      </c>
      <c r="D199" s="1">
        <v>44701</v>
      </c>
      <c r="E199" t="s">
        <v>13</v>
      </c>
      <c r="F199" t="s">
        <v>18</v>
      </c>
      <c r="G199">
        <v>1070</v>
      </c>
      <c r="H199" s="3">
        <v>29.14</v>
      </c>
      <c r="I199" s="3">
        <v>26.63</v>
      </c>
      <c r="J199">
        <v>24</v>
      </c>
      <c r="K199" t="s">
        <v>15</v>
      </c>
      <c r="L199">
        <f t="shared" si="15"/>
        <v>8</v>
      </c>
      <c r="M199" s="3">
        <f>Table1[[#This Row],[Quantity]]*Table1[[#This Row],[Negotiated_Price]]</f>
        <v>28494.1</v>
      </c>
      <c r="N199" s="3">
        <f>Table1[[#This Row],[Quantity]]*Table1[[#This Row],[Unit_Price]]</f>
        <v>31179.8</v>
      </c>
      <c r="O199" s="3">
        <f>Table1[[#This Row],[ Original_Spend ]]-Table1[[#This Row],[ Total_Spend ]]</f>
        <v>2685.7000000000007</v>
      </c>
      <c r="P199" s="2">
        <f t="shared" si="16"/>
        <v>8.6135895676046695E-2</v>
      </c>
      <c r="Q199" s="2">
        <f t="shared" si="17"/>
        <v>2.2429906542056073E-2</v>
      </c>
      <c r="R199" t="str">
        <f t="shared" si="18"/>
        <v>On Time</v>
      </c>
      <c r="S199" t="str">
        <f t="shared" si="19"/>
        <v>OK</v>
      </c>
    </row>
    <row r="200" spans="1:19" x14ac:dyDescent="0.25">
      <c r="A200" t="s">
        <v>225</v>
      </c>
      <c r="B200" t="s">
        <v>20</v>
      </c>
      <c r="C200" s="1">
        <v>45237</v>
      </c>
      <c r="D200" s="1">
        <v>45256</v>
      </c>
      <c r="E200" t="s">
        <v>26</v>
      </c>
      <c r="F200" t="s">
        <v>33</v>
      </c>
      <c r="G200">
        <v>145</v>
      </c>
      <c r="H200" s="3">
        <v>47.49</v>
      </c>
      <c r="I200" s="3">
        <v>42.76</v>
      </c>
      <c r="J200">
        <v>6</v>
      </c>
      <c r="K200" t="s">
        <v>15</v>
      </c>
      <c r="L200">
        <f t="shared" si="15"/>
        <v>19</v>
      </c>
      <c r="M200" s="3">
        <f>Table1[[#This Row],[Quantity]]*Table1[[#This Row],[Negotiated_Price]]</f>
        <v>6200.2</v>
      </c>
      <c r="N200" s="3">
        <f>Table1[[#This Row],[Quantity]]*Table1[[#This Row],[Unit_Price]]</f>
        <v>6886.05</v>
      </c>
      <c r="O200" s="3">
        <f>Table1[[#This Row],[ Original_Spend ]]-Table1[[#This Row],[ Total_Spend ]]</f>
        <v>685.85000000000036</v>
      </c>
      <c r="P200" s="2">
        <f t="shared" si="16"/>
        <v>9.9599915771741473E-2</v>
      </c>
      <c r="Q200" s="2">
        <f t="shared" si="17"/>
        <v>4.1379310344827586E-2</v>
      </c>
      <c r="R200" t="str">
        <f t="shared" si="18"/>
        <v>Partially Delivered</v>
      </c>
      <c r="S200" t="str">
        <f t="shared" si="19"/>
        <v>Status-Date Conflict</v>
      </c>
    </row>
    <row r="201" spans="1:19" x14ac:dyDescent="0.25">
      <c r="A201" t="s">
        <v>226</v>
      </c>
      <c r="B201" t="s">
        <v>17</v>
      </c>
      <c r="C201" s="1">
        <v>45048</v>
      </c>
      <c r="D201" s="1">
        <v>45063</v>
      </c>
      <c r="E201" t="s">
        <v>26</v>
      </c>
      <c r="F201" t="s">
        <v>18</v>
      </c>
      <c r="G201">
        <v>1973</v>
      </c>
      <c r="H201" s="3">
        <v>59.73</v>
      </c>
      <c r="I201" s="3">
        <v>54.95</v>
      </c>
      <c r="J201">
        <v>291</v>
      </c>
      <c r="K201" t="s">
        <v>15</v>
      </c>
      <c r="L201">
        <f t="shared" si="15"/>
        <v>15</v>
      </c>
      <c r="M201" s="3">
        <f>Table1[[#This Row],[Quantity]]*Table1[[#This Row],[Negotiated_Price]]</f>
        <v>108416.35</v>
      </c>
      <c r="N201" s="3">
        <f>Table1[[#This Row],[Quantity]]*Table1[[#This Row],[Unit_Price]]</f>
        <v>117847.29</v>
      </c>
      <c r="O201" s="3">
        <f>Table1[[#This Row],[ Original_Spend ]]-Table1[[#This Row],[ Total_Spend ]]</f>
        <v>9430.9399999999878</v>
      </c>
      <c r="P201" s="2">
        <f t="shared" si="16"/>
        <v>8.0026787209107553E-2</v>
      </c>
      <c r="Q201" s="2">
        <f t="shared" si="17"/>
        <v>0.14749113025848962</v>
      </c>
      <c r="R201" t="str">
        <f t="shared" si="18"/>
        <v>Late</v>
      </c>
      <c r="S201" t="str">
        <f t="shared" si="19"/>
        <v>OK</v>
      </c>
    </row>
    <row r="202" spans="1:19" x14ac:dyDescent="0.25">
      <c r="A202" t="s">
        <v>227</v>
      </c>
      <c r="B202" t="s">
        <v>29</v>
      </c>
      <c r="C202" s="1">
        <v>45124</v>
      </c>
      <c r="D202" s="1">
        <v>45139</v>
      </c>
      <c r="E202" t="s">
        <v>13</v>
      </c>
      <c r="F202" t="s">
        <v>18</v>
      </c>
      <c r="G202">
        <v>1807</v>
      </c>
      <c r="H202" s="3">
        <v>78.63</v>
      </c>
      <c r="I202" s="3">
        <v>73.08</v>
      </c>
      <c r="J202">
        <v>100</v>
      </c>
      <c r="K202" t="s">
        <v>15</v>
      </c>
      <c r="L202">
        <f t="shared" si="15"/>
        <v>15</v>
      </c>
      <c r="M202" s="3">
        <f>Table1[[#This Row],[Quantity]]*Table1[[#This Row],[Negotiated_Price]]</f>
        <v>132055.56</v>
      </c>
      <c r="N202" s="3">
        <f>Table1[[#This Row],[Quantity]]*Table1[[#This Row],[Unit_Price]]</f>
        <v>142084.41</v>
      </c>
      <c r="O202" s="3">
        <f>Table1[[#This Row],[ Original_Spend ]]-Table1[[#This Row],[ Total_Spend ]]</f>
        <v>10028.850000000006</v>
      </c>
      <c r="P202" s="2">
        <f t="shared" si="16"/>
        <v>7.0583746661579586E-2</v>
      </c>
      <c r="Q202" s="2">
        <f t="shared" si="17"/>
        <v>5.5340343110127282E-2</v>
      </c>
      <c r="R202" t="str">
        <f t="shared" si="18"/>
        <v>Late</v>
      </c>
      <c r="S202" t="str">
        <f t="shared" si="19"/>
        <v>OK</v>
      </c>
    </row>
    <row r="203" spans="1:19" x14ac:dyDescent="0.25">
      <c r="A203" t="s">
        <v>228</v>
      </c>
      <c r="B203" t="s">
        <v>29</v>
      </c>
      <c r="C203" s="1">
        <v>44731</v>
      </c>
      <c r="D203" s="1">
        <v>44732</v>
      </c>
      <c r="E203" t="s">
        <v>39</v>
      </c>
      <c r="F203" t="s">
        <v>18</v>
      </c>
      <c r="G203">
        <v>534</v>
      </c>
      <c r="H203" s="3">
        <v>13.88</v>
      </c>
      <c r="I203" s="3">
        <v>12.51</v>
      </c>
      <c r="J203">
        <v>100</v>
      </c>
      <c r="K203" t="s">
        <v>15</v>
      </c>
      <c r="L203">
        <f t="shared" si="15"/>
        <v>1</v>
      </c>
      <c r="M203" s="3">
        <f>Table1[[#This Row],[Quantity]]*Table1[[#This Row],[Negotiated_Price]]</f>
        <v>6680.34</v>
      </c>
      <c r="N203" s="3">
        <f>Table1[[#This Row],[Quantity]]*Table1[[#This Row],[Unit_Price]]</f>
        <v>7411.92</v>
      </c>
      <c r="O203" s="3">
        <f>Table1[[#This Row],[ Original_Spend ]]-Table1[[#This Row],[ Total_Spend ]]</f>
        <v>731.57999999999993</v>
      </c>
      <c r="P203" s="2">
        <f t="shared" si="16"/>
        <v>9.8703170028818427E-2</v>
      </c>
      <c r="Q203" s="2">
        <f t="shared" si="17"/>
        <v>0.18726591760299627</v>
      </c>
      <c r="R203" t="str">
        <f t="shared" si="18"/>
        <v>On Time</v>
      </c>
      <c r="S203" t="str">
        <f t="shared" si="19"/>
        <v>OK</v>
      </c>
    </row>
    <row r="204" spans="1:19" x14ac:dyDescent="0.25">
      <c r="A204" t="s">
        <v>229</v>
      </c>
      <c r="B204" t="s">
        <v>12</v>
      </c>
      <c r="C204" s="1">
        <v>44833</v>
      </c>
      <c r="D204" s="1">
        <v>44848</v>
      </c>
      <c r="E204" t="s">
        <v>39</v>
      </c>
      <c r="F204" t="s">
        <v>18</v>
      </c>
      <c r="G204">
        <v>1480</v>
      </c>
      <c r="H204" s="3">
        <v>85.22</v>
      </c>
      <c r="I204" s="3">
        <v>75.48</v>
      </c>
      <c r="J204">
        <v>100</v>
      </c>
      <c r="K204" t="s">
        <v>15</v>
      </c>
      <c r="L204">
        <f t="shared" si="15"/>
        <v>15</v>
      </c>
      <c r="M204" s="3">
        <f>Table1[[#This Row],[Quantity]]*Table1[[#This Row],[Negotiated_Price]]</f>
        <v>111710.40000000001</v>
      </c>
      <c r="N204" s="3">
        <f>Table1[[#This Row],[Quantity]]*Table1[[#This Row],[Unit_Price]]</f>
        <v>126125.59999999999</v>
      </c>
      <c r="O204" s="3">
        <f>Table1[[#This Row],[ Original_Spend ]]-Table1[[#This Row],[ Total_Spend ]]</f>
        <v>14415.199999999983</v>
      </c>
      <c r="P204" s="2">
        <f t="shared" si="16"/>
        <v>0.11429241961980742</v>
      </c>
      <c r="Q204" s="2">
        <f t="shared" si="17"/>
        <v>6.7567567567567571E-2</v>
      </c>
      <c r="R204" t="str">
        <f t="shared" si="18"/>
        <v>Late</v>
      </c>
      <c r="S204" t="str">
        <f t="shared" si="19"/>
        <v>OK</v>
      </c>
    </row>
    <row r="205" spans="1:19" x14ac:dyDescent="0.25">
      <c r="A205" t="s">
        <v>230</v>
      </c>
      <c r="B205" t="s">
        <v>12</v>
      </c>
      <c r="C205" s="1">
        <v>45102</v>
      </c>
      <c r="E205" t="s">
        <v>13</v>
      </c>
      <c r="F205" t="s">
        <v>18</v>
      </c>
      <c r="G205">
        <v>280</v>
      </c>
      <c r="H205" s="3">
        <v>72.16</v>
      </c>
      <c r="I205" s="3">
        <v>62.38</v>
      </c>
      <c r="J205">
        <v>100</v>
      </c>
      <c r="K205" t="s">
        <v>15</v>
      </c>
      <c r="L205" t="str">
        <f t="shared" si="15"/>
        <v/>
      </c>
      <c r="M205" s="3">
        <f>Table1[[#This Row],[Quantity]]*Table1[[#This Row],[Negotiated_Price]]</f>
        <v>17466.400000000001</v>
      </c>
      <c r="N205" s="3">
        <f>Table1[[#This Row],[Quantity]]*Table1[[#This Row],[Unit_Price]]</f>
        <v>20204.8</v>
      </c>
      <c r="O205" s="3">
        <f>Table1[[#This Row],[ Original_Spend ]]-Table1[[#This Row],[ Total_Spend ]]</f>
        <v>2738.3999999999978</v>
      </c>
      <c r="P205" s="2">
        <f t="shared" si="16"/>
        <v>0.1355321507760531</v>
      </c>
      <c r="Q205" s="2">
        <f t="shared" si="17"/>
        <v>0.35714285714285715</v>
      </c>
      <c r="R205" t="str">
        <f t="shared" si="18"/>
        <v>Missing Delivery Date</v>
      </c>
      <c r="S205" t="str">
        <f t="shared" si="19"/>
        <v>Missing Delivery Date</v>
      </c>
    </row>
    <row r="206" spans="1:19" x14ac:dyDescent="0.25">
      <c r="A206" t="s">
        <v>231</v>
      </c>
      <c r="B206" t="s">
        <v>23</v>
      </c>
      <c r="C206" s="1">
        <v>45183</v>
      </c>
      <c r="D206" s="1">
        <v>45189</v>
      </c>
      <c r="E206" t="s">
        <v>13</v>
      </c>
      <c r="F206" t="s">
        <v>14</v>
      </c>
      <c r="G206">
        <v>798</v>
      </c>
      <c r="H206" s="3">
        <v>19.09</v>
      </c>
      <c r="I206" s="3">
        <v>17.760000000000002</v>
      </c>
      <c r="J206">
        <v>100</v>
      </c>
      <c r="K206" t="s">
        <v>15</v>
      </c>
      <c r="L206">
        <f t="shared" si="15"/>
        <v>6</v>
      </c>
      <c r="M206" s="3">
        <f>Table1[[#This Row],[Quantity]]*Table1[[#This Row],[Negotiated_Price]]</f>
        <v>14172.480000000001</v>
      </c>
      <c r="N206" s="3">
        <f>Table1[[#This Row],[Quantity]]*Table1[[#This Row],[Unit_Price]]</f>
        <v>15233.82</v>
      </c>
      <c r="O206" s="3">
        <f>Table1[[#This Row],[ Original_Spend ]]-Table1[[#This Row],[ Total_Spend ]]</f>
        <v>1061.3399999999983</v>
      </c>
      <c r="P206" s="2">
        <f t="shared" si="16"/>
        <v>6.9669984284965847E-2</v>
      </c>
      <c r="Q206" s="2">
        <f t="shared" si="17"/>
        <v>0.12531328320802004</v>
      </c>
      <c r="R206" t="str">
        <f t="shared" si="18"/>
        <v>Cancelled</v>
      </c>
      <c r="S206" t="str">
        <f t="shared" si="19"/>
        <v>Status-Date Conflict</v>
      </c>
    </row>
    <row r="207" spans="1:19" x14ac:dyDescent="0.25">
      <c r="A207" t="s">
        <v>232</v>
      </c>
      <c r="B207" t="s">
        <v>29</v>
      </c>
      <c r="C207" s="1">
        <v>44995</v>
      </c>
      <c r="D207" s="1">
        <v>45007</v>
      </c>
      <c r="E207" t="s">
        <v>39</v>
      </c>
      <c r="F207" t="s">
        <v>18</v>
      </c>
      <c r="G207">
        <v>1728</v>
      </c>
      <c r="H207" s="3">
        <v>94.83</v>
      </c>
      <c r="I207" s="3">
        <v>90.2</v>
      </c>
      <c r="J207">
        <v>100</v>
      </c>
      <c r="K207" t="s">
        <v>15</v>
      </c>
      <c r="L207">
        <f t="shared" si="15"/>
        <v>12</v>
      </c>
      <c r="M207" s="3">
        <f>Table1[[#This Row],[Quantity]]*Table1[[#This Row],[Negotiated_Price]]</f>
        <v>155865.60000000001</v>
      </c>
      <c r="N207" s="3">
        <f>Table1[[#This Row],[Quantity]]*Table1[[#This Row],[Unit_Price]]</f>
        <v>163866.23999999999</v>
      </c>
      <c r="O207" s="3">
        <f>Table1[[#This Row],[ Original_Spend ]]-Table1[[#This Row],[ Total_Spend ]]</f>
        <v>8000.6399999999849</v>
      </c>
      <c r="P207" s="2">
        <f t="shared" si="16"/>
        <v>4.8824211747337254E-2</v>
      </c>
      <c r="Q207" s="2">
        <f t="shared" si="17"/>
        <v>5.7870370370370371E-2</v>
      </c>
      <c r="R207" t="str">
        <f t="shared" si="18"/>
        <v>Late</v>
      </c>
      <c r="S207" t="str">
        <f t="shared" si="19"/>
        <v>OK</v>
      </c>
    </row>
    <row r="208" spans="1:19" x14ac:dyDescent="0.25">
      <c r="A208" t="s">
        <v>233</v>
      </c>
      <c r="B208" t="s">
        <v>29</v>
      </c>
      <c r="C208" s="1">
        <v>44778</v>
      </c>
      <c r="E208" t="s">
        <v>21</v>
      </c>
      <c r="F208" t="s">
        <v>18</v>
      </c>
      <c r="G208">
        <v>1244</v>
      </c>
      <c r="H208" s="3">
        <v>96.13</v>
      </c>
      <c r="I208" s="3">
        <v>84.78</v>
      </c>
      <c r="J208">
        <v>43</v>
      </c>
      <c r="K208" t="s">
        <v>15</v>
      </c>
      <c r="L208" t="str">
        <f t="shared" si="15"/>
        <v/>
      </c>
      <c r="M208" s="3">
        <f>Table1[[#This Row],[Quantity]]*Table1[[#This Row],[Negotiated_Price]]</f>
        <v>105466.32</v>
      </c>
      <c r="N208" s="3">
        <f>Table1[[#This Row],[Quantity]]*Table1[[#This Row],[Unit_Price]]</f>
        <v>119585.72</v>
      </c>
      <c r="O208" s="3">
        <f>Table1[[#This Row],[ Original_Spend ]]-Table1[[#This Row],[ Total_Spend ]]</f>
        <v>14119.399999999994</v>
      </c>
      <c r="P208" s="2">
        <f t="shared" si="16"/>
        <v>0.11806928118173302</v>
      </c>
      <c r="Q208" s="2">
        <f t="shared" si="17"/>
        <v>3.4565916398713828E-2</v>
      </c>
      <c r="R208" t="str">
        <f t="shared" si="18"/>
        <v>Missing Delivery Date</v>
      </c>
      <c r="S208" t="str">
        <f t="shared" si="19"/>
        <v>Missing Delivery Date</v>
      </c>
    </row>
    <row r="209" spans="1:19" x14ac:dyDescent="0.25">
      <c r="A209" t="s">
        <v>234</v>
      </c>
      <c r="B209" t="s">
        <v>23</v>
      </c>
      <c r="C209" s="1">
        <v>45114</v>
      </c>
      <c r="D209" s="1">
        <v>45128</v>
      </c>
      <c r="E209" t="s">
        <v>13</v>
      </c>
      <c r="F209" t="s">
        <v>18</v>
      </c>
      <c r="G209">
        <v>590</v>
      </c>
      <c r="H209" s="3">
        <v>16.89</v>
      </c>
      <c r="I209" s="3">
        <v>15.56</v>
      </c>
      <c r="J209">
        <v>46</v>
      </c>
      <c r="K209" t="s">
        <v>27</v>
      </c>
      <c r="L209">
        <f t="shared" si="15"/>
        <v>14</v>
      </c>
      <c r="M209" s="3">
        <f>Table1[[#This Row],[Quantity]]*Table1[[#This Row],[Negotiated_Price]]</f>
        <v>9180.4</v>
      </c>
      <c r="N209" s="3">
        <f>Table1[[#This Row],[Quantity]]*Table1[[#This Row],[Unit_Price]]</f>
        <v>9965.1</v>
      </c>
      <c r="O209" s="3">
        <f>Table1[[#This Row],[ Original_Spend ]]-Table1[[#This Row],[ Total_Spend ]]</f>
        <v>784.70000000000073</v>
      </c>
      <c r="P209" s="2">
        <f t="shared" si="16"/>
        <v>7.8744819419775083E-2</v>
      </c>
      <c r="Q209" s="2">
        <f t="shared" si="17"/>
        <v>7.796610169491526E-2</v>
      </c>
      <c r="R209" t="str">
        <f t="shared" si="18"/>
        <v>Late</v>
      </c>
      <c r="S209" t="str">
        <f t="shared" si="19"/>
        <v>OK</v>
      </c>
    </row>
    <row r="210" spans="1:19" x14ac:dyDescent="0.25">
      <c r="A210" t="s">
        <v>235</v>
      </c>
      <c r="B210" t="s">
        <v>17</v>
      </c>
      <c r="C210" s="1">
        <v>45268</v>
      </c>
      <c r="D210" s="1">
        <v>45283</v>
      </c>
      <c r="E210" t="s">
        <v>24</v>
      </c>
      <c r="F210" t="s">
        <v>18</v>
      </c>
      <c r="G210">
        <v>1109</v>
      </c>
      <c r="H210" s="3">
        <v>38.93</v>
      </c>
      <c r="I210" s="3">
        <v>33.33</v>
      </c>
      <c r="J210">
        <v>152</v>
      </c>
      <c r="K210" t="s">
        <v>15</v>
      </c>
      <c r="L210">
        <f t="shared" si="15"/>
        <v>15</v>
      </c>
      <c r="M210" s="3">
        <f>Table1[[#This Row],[Quantity]]*Table1[[#This Row],[Negotiated_Price]]</f>
        <v>36962.97</v>
      </c>
      <c r="N210" s="3">
        <f>Table1[[#This Row],[Quantity]]*Table1[[#This Row],[Unit_Price]]</f>
        <v>43173.37</v>
      </c>
      <c r="O210" s="3">
        <f>Table1[[#This Row],[ Original_Spend ]]-Table1[[#This Row],[ Total_Spend ]]</f>
        <v>6210.4000000000015</v>
      </c>
      <c r="P210" s="2">
        <f t="shared" si="16"/>
        <v>0.14384793218597486</v>
      </c>
      <c r="Q210" s="2">
        <f t="shared" si="17"/>
        <v>0.13706041478809738</v>
      </c>
      <c r="R210" t="str">
        <f t="shared" si="18"/>
        <v>Late</v>
      </c>
      <c r="S210" t="str">
        <f t="shared" si="19"/>
        <v>OK</v>
      </c>
    </row>
    <row r="211" spans="1:19" x14ac:dyDescent="0.25">
      <c r="A211" t="s">
        <v>236</v>
      </c>
      <c r="B211" t="s">
        <v>23</v>
      </c>
      <c r="C211" s="1">
        <v>44767</v>
      </c>
      <c r="D211" s="1">
        <v>44774</v>
      </c>
      <c r="E211" t="s">
        <v>21</v>
      </c>
      <c r="F211" t="s">
        <v>18</v>
      </c>
      <c r="G211">
        <v>574</v>
      </c>
      <c r="H211" s="3">
        <v>85.03</v>
      </c>
      <c r="I211" s="3">
        <v>82.55</v>
      </c>
      <c r="J211">
        <v>54</v>
      </c>
      <c r="K211" t="s">
        <v>15</v>
      </c>
      <c r="L211">
        <f t="shared" si="15"/>
        <v>7</v>
      </c>
      <c r="M211" s="3">
        <f>Table1[[#This Row],[Quantity]]*Table1[[#This Row],[Negotiated_Price]]</f>
        <v>47383.7</v>
      </c>
      <c r="N211" s="3">
        <f>Table1[[#This Row],[Quantity]]*Table1[[#This Row],[Unit_Price]]</f>
        <v>48807.22</v>
      </c>
      <c r="O211" s="3">
        <f>Table1[[#This Row],[ Original_Spend ]]-Table1[[#This Row],[ Total_Spend ]]</f>
        <v>1423.5200000000041</v>
      </c>
      <c r="P211" s="2">
        <f t="shared" si="16"/>
        <v>2.9166176643537659E-2</v>
      </c>
      <c r="Q211" s="2">
        <f t="shared" si="17"/>
        <v>9.4076655052264813E-2</v>
      </c>
      <c r="R211" t="str">
        <f t="shared" si="18"/>
        <v>On Time</v>
      </c>
      <c r="S211" t="str">
        <f t="shared" si="19"/>
        <v>OK</v>
      </c>
    </row>
    <row r="212" spans="1:19" x14ac:dyDescent="0.25">
      <c r="A212" t="s">
        <v>237</v>
      </c>
      <c r="B212" t="s">
        <v>20</v>
      </c>
      <c r="C212" s="1">
        <v>45292</v>
      </c>
      <c r="E212" t="s">
        <v>13</v>
      </c>
      <c r="F212" t="s">
        <v>18</v>
      </c>
      <c r="G212">
        <v>1233</v>
      </c>
      <c r="H212" s="3">
        <v>86.62</v>
      </c>
      <c r="I212" s="3">
        <v>76.59</v>
      </c>
      <c r="J212">
        <v>65</v>
      </c>
      <c r="K212" t="s">
        <v>15</v>
      </c>
      <c r="L212" t="str">
        <f t="shared" si="15"/>
        <v/>
      </c>
      <c r="M212" s="3">
        <f>Table1[[#This Row],[Quantity]]*Table1[[#This Row],[Negotiated_Price]]</f>
        <v>94435.47</v>
      </c>
      <c r="N212" s="3">
        <f>Table1[[#This Row],[Quantity]]*Table1[[#This Row],[Unit_Price]]</f>
        <v>106802.46</v>
      </c>
      <c r="O212" s="3">
        <f>Table1[[#This Row],[ Original_Spend ]]-Table1[[#This Row],[ Total_Spend ]]</f>
        <v>12366.990000000005</v>
      </c>
      <c r="P212" s="2">
        <f t="shared" si="16"/>
        <v>0.11579311937196957</v>
      </c>
      <c r="Q212" s="2">
        <f t="shared" si="17"/>
        <v>5.2716950527169508E-2</v>
      </c>
      <c r="R212" t="str">
        <f t="shared" si="18"/>
        <v>Missing Delivery Date</v>
      </c>
      <c r="S212" t="str">
        <f t="shared" si="19"/>
        <v>Missing Delivery Date</v>
      </c>
    </row>
    <row r="213" spans="1:19" x14ac:dyDescent="0.25">
      <c r="A213" t="s">
        <v>238</v>
      </c>
      <c r="B213" t="s">
        <v>20</v>
      </c>
      <c r="C213" s="1">
        <v>44881</v>
      </c>
      <c r="D213" s="1">
        <v>44885</v>
      </c>
      <c r="E213" t="s">
        <v>24</v>
      </c>
      <c r="F213" t="s">
        <v>18</v>
      </c>
      <c r="G213">
        <v>1912</v>
      </c>
      <c r="H213" s="3">
        <v>27.94</v>
      </c>
      <c r="I213" s="3">
        <v>25.59</v>
      </c>
      <c r="J213">
        <v>83</v>
      </c>
      <c r="K213" t="s">
        <v>27</v>
      </c>
      <c r="L213">
        <f t="shared" si="15"/>
        <v>4</v>
      </c>
      <c r="M213" s="3">
        <f>Table1[[#This Row],[Quantity]]*Table1[[#This Row],[Negotiated_Price]]</f>
        <v>48928.08</v>
      </c>
      <c r="N213" s="3">
        <f>Table1[[#This Row],[Quantity]]*Table1[[#This Row],[Unit_Price]]</f>
        <v>53421.279999999999</v>
      </c>
      <c r="O213" s="3">
        <f>Table1[[#This Row],[ Original_Spend ]]-Table1[[#This Row],[ Total_Spend ]]</f>
        <v>4493.1999999999971</v>
      </c>
      <c r="P213" s="2">
        <f t="shared" si="16"/>
        <v>8.4108804581245478E-2</v>
      </c>
      <c r="Q213" s="2">
        <f t="shared" si="17"/>
        <v>4.3410041841004186E-2</v>
      </c>
      <c r="R213" t="str">
        <f t="shared" si="18"/>
        <v>On Time</v>
      </c>
      <c r="S213" t="str">
        <f t="shared" si="19"/>
        <v>OK</v>
      </c>
    </row>
    <row r="214" spans="1:19" x14ac:dyDescent="0.25">
      <c r="A214" t="s">
        <v>239</v>
      </c>
      <c r="B214" t="s">
        <v>12</v>
      </c>
      <c r="C214" s="1">
        <v>44970</v>
      </c>
      <c r="D214" s="1">
        <v>44989</v>
      </c>
      <c r="E214" t="s">
        <v>24</v>
      </c>
      <c r="F214" t="s">
        <v>18</v>
      </c>
      <c r="G214">
        <v>1772</v>
      </c>
      <c r="H214" s="3">
        <v>30.72</v>
      </c>
      <c r="I214" s="3">
        <v>27.76</v>
      </c>
      <c r="J214">
        <v>46</v>
      </c>
      <c r="K214" t="s">
        <v>27</v>
      </c>
      <c r="L214">
        <f t="shared" si="15"/>
        <v>19</v>
      </c>
      <c r="M214" s="3">
        <f>Table1[[#This Row],[Quantity]]*Table1[[#This Row],[Negotiated_Price]]</f>
        <v>49190.720000000001</v>
      </c>
      <c r="N214" s="3">
        <f>Table1[[#This Row],[Quantity]]*Table1[[#This Row],[Unit_Price]]</f>
        <v>54435.839999999997</v>
      </c>
      <c r="O214" s="3">
        <f>Table1[[#This Row],[ Original_Spend ]]-Table1[[#This Row],[ Total_Spend ]]</f>
        <v>5245.1199999999953</v>
      </c>
      <c r="P214" s="2">
        <f t="shared" si="16"/>
        <v>9.6354166666666588E-2</v>
      </c>
      <c r="Q214" s="2">
        <f t="shared" si="17"/>
        <v>2.5959367945823927E-2</v>
      </c>
      <c r="R214" t="str">
        <f t="shared" si="18"/>
        <v>Late</v>
      </c>
      <c r="S214" t="str">
        <f t="shared" si="19"/>
        <v>OK</v>
      </c>
    </row>
    <row r="215" spans="1:19" x14ac:dyDescent="0.25">
      <c r="A215" t="s">
        <v>240</v>
      </c>
      <c r="B215" t="s">
        <v>23</v>
      </c>
      <c r="C215" s="1">
        <v>45249</v>
      </c>
      <c r="D215" s="1">
        <v>45259</v>
      </c>
      <c r="E215" t="s">
        <v>13</v>
      </c>
      <c r="F215" t="s">
        <v>18</v>
      </c>
      <c r="G215">
        <v>1316</v>
      </c>
      <c r="H215" s="3">
        <v>48.11</v>
      </c>
      <c r="I215" s="3">
        <v>41.9</v>
      </c>
      <c r="J215">
        <v>135</v>
      </c>
      <c r="K215" t="s">
        <v>15</v>
      </c>
      <c r="L215">
        <f t="shared" si="15"/>
        <v>10</v>
      </c>
      <c r="M215" s="3">
        <f>Table1[[#This Row],[Quantity]]*Table1[[#This Row],[Negotiated_Price]]</f>
        <v>55140.4</v>
      </c>
      <c r="N215" s="3">
        <f>Table1[[#This Row],[Quantity]]*Table1[[#This Row],[Unit_Price]]</f>
        <v>63312.76</v>
      </c>
      <c r="O215" s="3">
        <f>Table1[[#This Row],[ Original_Spend ]]-Table1[[#This Row],[ Total_Spend ]]</f>
        <v>8172.3600000000006</v>
      </c>
      <c r="P215" s="2">
        <f t="shared" si="16"/>
        <v>0.12907919351486177</v>
      </c>
      <c r="Q215" s="2">
        <f t="shared" si="17"/>
        <v>0.10258358662613981</v>
      </c>
      <c r="R215" t="str">
        <f t="shared" si="18"/>
        <v>On Time</v>
      </c>
      <c r="S215" t="str">
        <f t="shared" si="19"/>
        <v>OK</v>
      </c>
    </row>
    <row r="216" spans="1:19" x14ac:dyDescent="0.25">
      <c r="A216" t="s">
        <v>241</v>
      </c>
      <c r="B216" t="s">
        <v>23</v>
      </c>
      <c r="C216" s="1">
        <v>45227</v>
      </c>
      <c r="E216" t="s">
        <v>13</v>
      </c>
      <c r="F216" t="s">
        <v>18</v>
      </c>
      <c r="G216">
        <v>1159</v>
      </c>
      <c r="H216" s="3">
        <v>59.24</v>
      </c>
      <c r="I216" s="3">
        <v>58.08</v>
      </c>
      <c r="K216" t="s">
        <v>15</v>
      </c>
      <c r="L216" t="str">
        <f t="shared" si="15"/>
        <v/>
      </c>
      <c r="M216" s="3">
        <f>Table1[[#This Row],[Quantity]]*Table1[[#This Row],[Negotiated_Price]]</f>
        <v>67314.720000000001</v>
      </c>
      <c r="N216" s="3">
        <f>Table1[[#This Row],[Quantity]]*Table1[[#This Row],[Unit_Price]]</f>
        <v>68659.16</v>
      </c>
      <c r="O216" s="3">
        <f>Table1[[#This Row],[ Original_Spend ]]-Table1[[#This Row],[ Total_Spend ]]</f>
        <v>1344.4400000000023</v>
      </c>
      <c r="P216" s="2">
        <f t="shared" si="16"/>
        <v>1.95813639432816E-2</v>
      </c>
      <c r="Q216" s="2">
        <f t="shared" si="17"/>
        <v>0</v>
      </c>
      <c r="R216" t="str">
        <f t="shared" si="18"/>
        <v>Missing Delivery Date</v>
      </c>
      <c r="S216" t="str">
        <f t="shared" si="19"/>
        <v>Missing Delivery Date</v>
      </c>
    </row>
    <row r="217" spans="1:19" x14ac:dyDescent="0.25">
      <c r="A217" t="s">
        <v>242</v>
      </c>
      <c r="B217" t="s">
        <v>12</v>
      </c>
      <c r="C217" s="1">
        <v>44944</v>
      </c>
      <c r="D217" s="1">
        <v>44957</v>
      </c>
      <c r="E217" t="s">
        <v>13</v>
      </c>
      <c r="F217" t="s">
        <v>18</v>
      </c>
      <c r="G217">
        <v>1869</v>
      </c>
      <c r="H217" s="3">
        <v>69.58</v>
      </c>
      <c r="I217" s="3">
        <v>67.5</v>
      </c>
      <c r="J217">
        <v>31</v>
      </c>
      <c r="K217" t="s">
        <v>15</v>
      </c>
      <c r="L217">
        <f t="shared" si="15"/>
        <v>13</v>
      </c>
      <c r="M217" s="3">
        <f>Table1[[#This Row],[Quantity]]*Table1[[#This Row],[Negotiated_Price]]</f>
        <v>126157.5</v>
      </c>
      <c r="N217" s="3">
        <f>Table1[[#This Row],[Quantity]]*Table1[[#This Row],[Unit_Price]]</f>
        <v>130045.02</v>
      </c>
      <c r="O217" s="3">
        <f>Table1[[#This Row],[ Original_Spend ]]-Table1[[#This Row],[ Total_Spend ]]</f>
        <v>3887.5200000000041</v>
      </c>
      <c r="P217" s="2">
        <f t="shared" si="16"/>
        <v>2.9893647599885054E-2</v>
      </c>
      <c r="Q217" s="2">
        <f t="shared" si="17"/>
        <v>1.6586409844836811E-2</v>
      </c>
      <c r="R217" t="str">
        <f t="shared" si="18"/>
        <v>Late</v>
      </c>
      <c r="S217" t="str">
        <f t="shared" si="19"/>
        <v>OK</v>
      </c>
    </row>
    <row r="218" spans="1:19" x14ac:dyDescent="0.25">
      <c r="A218" t="s">
        <v>243</v>
      </c>
      <c r="B218" t="s">
        <v>17</v>
      </c>
      <c r="C218" s="1">
        <v>45010</v>
      </c>
      <c r="D218" s="1">
        <v>45029</v>
      </c>
      <c r="E218" t="s">
        <v>24</v>
      </c>
      <c r="F218" t="s">
        <v>18</v>
      </c>
      <c r="G218">
        <v>627</v>
      </c>
      <c r="H218" s="3">
        <v>46.23</v>
      </c>
      <c r="I218" s="3">
        <v>42.87</v>
      </c>
      <c r="K218" t="s">
        <v>15</v>
      </c>
      <c r="L218">
        <f t="shared" si="15"/>
        <v>19</v>
      </c>
      <c r="M218" s="3">
        <f>Table1[[#This Row],[Quantity]]*Table1[[#This Row],[Negotiated_Price]]</f>
        <v>26879.489999999998</v>
      </c>
      <c r="N218" s="3">
        <f>Table1[[#This Row],[Quantity]]*Table1[[#This Row],[Unit_Price]]</f>
        <v>28986.21</v>
      </c>
      <c r="O218" s="3">
        <f>Table1[[#This Row],[ Original_Spend ]]-Table1[[#This Row],[ Total_Spend ]]</f>
        <v>2106.7200000000012</v>
      </c>
      <c r="P218" s="2">
        <f t="shared" si="16"/>
        <v>7.2680077871512053E-2</v>
      </c>
      <c r="Q218" s="2">
        <f t="shared" si="17"/>
        <v>0</v>
      </c>
      <c r="R218" t="str">
        <f t="shared" si="18"/>
        <v>Late</v>
      </c>
      <c r="S218" t="str">
        <f t="shared" si="19"/>
        <v>OK</v>
      </c>
    </row>
    <row r="219" spans="1:19" x14ac:dyDescent="0.25">
      <c r="A219" t="s">
        <v>244</v>
      </c>
      <c r="B219" t="s">
        <v>23</v>
      </c>
      <c r="C219" s="1">
        <v>45091</v>
      </c>
      <c r="D219" s="1">
        <v>45093</v>
      </c>
      <c r="E219" t="s">
        <v>26</v>
      </c>
      <c r="F219" t="s">
        <v>35</v>
      </c>
      <c r="G219">
        <v>731</v>
      </c>
      <c r="H219" s="3">
        <v>56.02</v>
      </c>
      <c r="I219" s="3">
        <v>54.78</v>
      </c>
      <c r="J219">
        <v>70</v>
      </c>
      <c r="K219" t="s">
        <v>27</v>
      </c>
      <c r="L219">
        <f t="shared" si="15"/>
        <v>2</v>
      </c>
      <c r="M219" s="3">
        <f>Table1[[#This Row],[Quantity]]*Table1[[#This Row],[Negotiated_Price]]</f>
        <v>40044.18</v>
      </c>
      <c r="N219" s="3">
        <f>Table1[[#This Row],[Quantity]]*Table1[[#This Row],[Unit_Price]]</f>
        <v>40950.620000000003</v>
      </c>
      <c r="O219" s="3">
        <f>Table1[[#This Row],[ Original_Spend ]]-Table1[[#This Row],[ Total_Spend ]]</f>
        <v>906.44000000000233</v>
      </c>
      <c r="P219" s="2">
        <f t="shared" si="16"/>
        <v>2.2134951802927582E-2</v>
      </c>
      <c r="Q219" s="2">
        <f t="shared" si="17"/>
        <v>9.575923392612859E-2</v>
      </c>
      <c r="R219" t="str">
        <f t="shared" si="18"/>
        <v>Pending</v>
      </c>
      <c r="S219" t="str">
        <f t="shared" si="19"/>
        <v>Status-Date Conflict</v>
      </c>
    </row>
    <row r="220" spans="1:19" x14ac:dyDescent="0.25">
      <c r="A220" t="s">
        <v>245</v>
      </c>
      <c r="B220" t="s">
        <v>29</v>
      </c>
      <c r="C220" s="1">
        <v>45024</v>
      </c>
      <c r="E220" t="s">
        <v>13</v>
      </c>
      <c r="F220" t="s">
        <v>14</v>
      </c>
      <c r="G220">
        <v>606</v>
      </c>
      <c r="H220" s="3">
        <v>83.07</v>
      </c>
      <c r="I220" s="3">
        <v>79.22</v>
      </c>
      <c r="J220">
        <v>16</v>
      </c>
      <c r="K220" t="s">
        <v>15</v>
      </c>
      <c r="L220" t="str">
        <f t="shared" si="15"/>
        <v/>
      </c>
      <c r="M220" s="3">
        <f>Table1[[#This Row],[Quantity]]*Table1[[#This Row],[Negotiated_Price]]</f>
        <v>48007.32</v>
      </c>
      <c r="N220" s="3">
        <f>Table1[[#This Row],[Quantity]]*Table1[[#This Row],[Unit_Price]]</f>
        <v>50340.42</v>
      </c>
      <c r="O220" s="3">
        <f>Table1[[#This Row],[ Original_Spend ]]-Table1[[#This Row],[ Total_Spend ]]</f>
        <v>2333.0999999999985</v>
      </c>
      <c r="P220" s="2">
        <f t="shared" si="16"/>
        <v>4.6346454797158994E-2</v>
      </c>
      <c r="Q220" s="2">
        <f t="shared" si="17"/>
        <v>2.6402640264026403E-2</v>
      </c>
      <c r="R220" t="str">
        <f t="shared" si="18"/>
        <v>Cancelled</v>
      </c>
      <c r="S220" t="str">
        <f t="shared" si="19"/>
        <v>OK</v>
      </c>
    </row>
    <row r="221" spans="1:19" x14ac:dyDescent="0.25">
      <c r="A221" t="s">
        <v>246</v>
      </c>
      <c r="B221" t="s">
        <v>23</v>
      </c>
      <c r="C221" s="1">
        <v>44685</v>
      </c>
      <c r="D221" s="1">
        <v>44695</v>
      </c>
      <c r="E221" t="s">
        <v>13</v>
      </c>
      <c r="F221" t="s">
        <v>18</v>
      </c>
      <c r="G221">
        <v>1647</v>
      </c>
      <c r="H221" s="3">
        <v>13.57</v>
      </c>
      <c r="I221" s="3">
        <v>12.33</v>
      </c>
      <c r="J221">
        <v>157</v>
      </c>
      <c r="K221" t="s">
        <v>15</v>
      </c>
      <c r="L221">
        <f t="shared" si="15"/>
        <v>10</v>
      </c>
      <c r="M221" s="3">
        <f>Table1[[#This Row],[Quantity]]*Table1[[#This Row],[Negotiated_Price]]</f>
        <v>20307.509999999998</v>
      </c>
      <c r="N221" s="3">
        <f>Table1[[#This Row],[Quantity]]*Table1[[#This Row],[Unit_Price]]</f>
        <v>22349.79</v>
      </c>
      <c r="O221" s="3">
        <f>Table1[[#This Row],[ Original_Spend ]]-Table1[[#This Row],[ Total_Spend ]]</f>
        <v>2042.2800000000025</v>
      </c>
      <c r="P221" s="2">
        <f t="shared" si="16"/>
        <v>9.1378039793662602E-2</v>
      </c>
      <c r="Q221" s="2">
        <f t="shared" si="17"/>
        <v>9.532483302975106E-2</v>
      </c>
      <c r="R221" t="str">
        <f t="shared" si="18"/>
        <v>On Time</v>
      </c>
      <c r="S221" t="str">
        <f t="shared" si="19"/>
        <v>OK</v>
      </c>
    </row>
    <row r="222" spans="1:19" x14ac:dyDescent="0.25">
      <c r="A222" t="s">
        <v>247</v>
      </c>
      <c r="B222" t="s">
        <v>17</v>
      </c>
      <c r="C222" s="1">
        <v>44815</v>
      </c>
      <c r="D222" s="1">
        <v>44823</v>
      </c>
      <c r="E222" t="s">
        <v>21</v>
      </c>
      <c r="F222" t="s">
        <v>18</v>
      </c>
      <c r="G222">
        <v>1062</v>
      </c>
      <c r="H222" s="3">
        <v>34.03</v>
      </c>
      <c r="I222" s="3">
        <v>30.46</v>
      </c>
      <c r="K222" t="s">
        <v>15</v>
      </c>
      <c r="L222">
        <f t="shared" si="15"/>
        <v>8</v>
      </c>
      <c r="M222" s="3">
        <f>Table1[[#This Row],[Quantity]]*Table1[[#This Row],[Negotiated_Price]]</f>
        <v>32348.52</v>
      </c>
      <c r="N222" s="3">
        <f>Table1[[#This Row],[Quantity]]*Table1[[#This Row],[Unit_Price]]</f>
        <v>36139.86</v>
      </c>
      <c r="O222" s="3">
        <f>Table1[[#This Row],[ Original_Spend ]]-Table1[[#This Row],[ Total_Spend ]]</f>
        <v>3791.34</v>
      </c>
      <c r="P222" s="2">
        <f t="shared" si="16"/>
        <v>0.10490743461651485</v>
      </c>
      <c r="Q222" s="2">
        <f t="shared" si="17"/>
        <v>0</v>
      </c>
      <c r="R222" t="str">
        <f t="shared" si="18"/>
        <v>On Time</v>
      </c>
      <c r="S222" t="str">
        <f t="shared" si="19"/>
        <v>OK</v>
      </c>
    </row>
    <row r="223" spans="1:19" x14ac:dyDescent="0.25">
      <c r="A223" t="s">
        <v>248</v>
      </c>
      <c r="B223" t="s">
        <v>23</v>
      </c>
      <c r="C223" s="1">
        <v>44792</v>
      </c>
      <c r="D223" s="1">
        <v>44804</v>
      </c>
      <c r="E223" t="s">
        <v>13</v>
      </c>
      <c r="F223" t="s">
        <v>18</v>
      </c>
      <c r="G223">
        <v>695</v>
      </c>
      <c r="H223" s="3">
        <v>76.8</v>
      </c>
      <c r="I223" s="3">
        <v>69.760000000000005</v>
      </c>
      <c r="K223" t="s">
        <v>27</v>
      </c>
      <c r="L223">
        <f t="shared" si="15"/>
        <v>12</v>
      </c>
      <c r="M223" s="3">
        <f>Table1[[#This Row],[Quantity]]*Table1[[#This Row],[Negotiated_Price]]</f>
        <v>48483.200000000004</v>
      </c>
      <c r="N223" s="3">
        <f>Table1[[#This Row],[Quantity]]*Table1[[#This Row],[Unit_Price]]</f>
        <v>53376</v>
      </c>
      <c r="O223" s="3">
        <f>Table1[[#This Row],[ Original_Spend ]]-Table1[[#This Row],[ Total_Spend ]]</f>
        <v>4892.7999999999956</v>
      </c>
      <c r="P223" s="2">
        <f t="shared" si="16"/>
        <v>9.1666666666666591E-2</v>
      </c>
      <c r="Q223" s="2">
        <f t="shared" si="17"/>
        <v>0</v>
      </c>
      <c r="R223" t="str">
        <f t="shared" si="18"/>
        <v>Late</v>
      </c>
      <c r="S223" t="str">
        <f t="shared" si="19"/>
        <v>OK</v>
      </c>
    </row>
    <row r="224" spans="1:19" x14ac:dyDescent="0.25">
      <c r="A224" t="s">
        <v>249</v>
      </c>
      <c r="B224" t="s">
        <v>29</v>
      </c>
      <c r="C224" s="1">
        <v>44627</v>
      </c>
      <c r="D224" s="1">
        <v>44634</v>
      </c>
      <c r="E224" t="s">
        <v>21</v>
      </c>
      <c r="F224" t="s">
        <v>18</v>
      </c>
      <c r="G224">
        <v>845</v>
      </c>
      <c r="H224" s="3">
        <v>91.47</v>
      </c>
      <c r="I224" s="3">
        <v>86.97</v>
      </c>
      <c r="K224" t="s">
        <v>15</v>
      </c>
      <c r="L224">
        <f t="shared" si="15"/>
        <v>7</v>
      </c>
      <c r="M224" s="3">
        <f>Table1[[#This Row],[Quantity]]*Table1[[#This Row],[Negotiated_Price]]</f>
        <v>73489.649999999994</v>
      </c>
      <c r="N224" s="3">
        <f>Table1[[#This Row],[Quantity]]*Table1[[#This Row],[Unit_Price]]</f>
        <v>77292.149999999994</v>
      </c>
      <c r="O224" s="3">
        <f>Table1[[#This Row],[ Original_Spend ]]-Table1[[#This Row],[ Total_Spend ]]</f>
        <v>3802.5</v>
      </c>
      <c r="P224" s="2">
        <f t="shared" si="16"/>
        <v>4.9196457855034438E-2</v>
      </c>
      <c r="Q224" s="2">
        <f t="shared" si="17"/>
        <v>0</v>
      </c>
      <c r="R224" t="str">
        <f t="shared" si="18"/>
        <v>On Time</v>
      </c>
      <c r="S224" t="str">
        <f t="shared" si="19"/>
        <v>OK</v>
      </c>
    </row>
    <row r="225" spans="1:19" x14ac:dyDescent="0.25">
      <c r="A225" t="s">
        <v>250</v>
      </c>
      <c r="B225" t="s">
        <v>20</v>
      </c>
      <c r="C225" s="1">
        <v>44908</v>
      </c>
      <c r="D225" s="1">
        <v>44913</v>
      </c>
      <c r="E225" t="s">
        <v>21</v>
      </c>
      <c r="F225" t="s">
        <v>18</v>
      </c>
      <c r="G225">
        <v>1101</v>
      </c>
      <c r="H225" s="3">
        <v>59.13</v>
      </c>
      <c r="I225" s="3">
        <v>52.51</v>
      </c>
      <c r="J225">
        <v>54</v>
      </c>
      <c r="K225" t="s">
        <v>15</v>
      </c>
      <c r="L225">
        <f t="shared" si="15"/>
        <v>5</v>
      </c>
      <c r="M225" s="3">
        <f>Table1[[#This Row],[Quantity]]*Table1[[#This Row],[Negotiated_Price]]</f>
        <v>57813.509999999995</v>
      </c>
      <c r="N225" s="3">
        <f>Table1[[#This Row],[Quantity]]*Table1[[#This Row],[Unit_Price]]</f>
        <v>65102.130000000005</v>
      </c>
      <c r="O225" s="3">
        <f>Table1[[#This Row],[ Original_Spend ]]-Table1[[#This Row],[ Total_Spend ]]</f>
        <v>7288.6200000000099</v>
      </c>
      <c r="P225" s="2">
        <f t="shared" si="16"/>
        <v>0.11195670556401165</v>
      </c>
      <c r="Q225" s="2">
        <f t="shared" si="17"/>
        <v>4.9046321525885561E-2</v>
      </c>
      <c r="R225" t="str">
        <f t="shared" si="18"/>
        <v>On Time</v>
      </c>
      <c r="S225" t="str">
        <f t="shared" si="19"/>
        <v>OK</v>
      </c>
    </row>
    <row r="226" spans="1:19" x14ac:dyDescent="0.25">
      <c r="A226" t="s">
        <v>251</v>
      </c>
      <c r="B226" t="s">
        <v>20</v>
      </c>
      <c r="C226" s="1">
        <v>44583</v>
      </c>
      <c r="D226" s="1">
        <v>44585</v>
      </c>
      <c r="E226" t="s">
        <v>26</v>
      </c>
      <c r="F226" t="s">
        <v>18</v>
      </c>
      <c r="G226">
        <v>1693</v>
      </c>
      <c r="H226" s="3">
        <v>57.89</v>
      </c>
      <c r="I226" s="3">
        <v>49.84</v>
      </c>
      <c r="J226">
        <v>88</v>
      </c>
      <c r="K226" t="s">
        <v>15</v>
      </c>
      <c r="L226">
        <f t="shared" si="15"/>
        <v>2</v>
      </c>
      <c r="M226" s="3">
        <f>Table1[[#This Row],[Quantity]]*Table1[[#This Row],[Negotiated_Price]]</f>
        <v>84379.12000000001</v>
      </c>
      <c r="N226" s="3">
        <f>Table1[[#This Row],[Quantity]]*Table1[[#This Row],[Unit_Price]]</f>
        <v>98007.77</v>
      </c>
      <c r="O226" s="3">
        <f>Table1[[#This Row],[ Original_Spend ]]-Table1[[#This Row],[ Total_Spend ]]</f>
        <v>13628.649999999994</v>
      </c>
      <c r="P226" s="2">
        <f t="shared" si="16"/>
        <v>0.13905683192261178</v>
      </c>
      <c r="Q226" s="2">
        <f t="shared" si="17"/>
        <v>5.1978735971647962E-2</v>
      </c>
      <c r="R226" t="str">
        <f t="shared" si="18"/>
        <v>On Time</v>
      </c>
      <c r="S226" t="str">
        <f t="shared" si="19"/>
        <v>OK</v>
      </c>
    </row>
    <row r="227" spans="1:19" x14ac:dyDescent="0.25">
      <c r="A227" t="s">
        <v>252</v>
      </c>
      <c r="B227" t="s">
        <v>17</v>
      </c>
      <c r="C227" s="1">
        <v>45164</v>
      </c>
      <c r="D227" s="1">
        <v>45179</v>
      </c>
      <c r="E227" t="s">
        <v>13</v>
      </c>
      <c r="F227" t="s">
        <v>14</v>
      </c>
      <c r="G227">
        <v>1629</v>
      </c>
      <c r="H227" s="3">
        <v>21.51</v>
      </c>
      <c r="I227" s="3">
        <v>19.41</v>
      </c>
      <c r="J227">
        <v>250</v>
      </c>
      <c r="K227" t="s">
        <v>27</v>
      </c>
      <c r="L227">
        <f t="shared" si="15"/>
        <v>15</v>
      </c>
      <c r="M227" s="3">
        <f>Table1[[#This Row],[Quantity]]*Table1[[#This Row],[Negotiated_Price]]</f>
        <v>31618.89</v>
      </c>
      <c r="N227" s="3">
        <f>Table1[[#This Row],[Quantity]]*Table1[[#This Row],[Unit_Price]]</f>
        <v>35039.79</v>
      </c>
      <c r="O227" s="3">
        <f>Table1[[#This Row],[ Original_Spend ]]-Table1[[#This Row],[ Total_Spend ]]</f>
        <v>3420.9000000000015</v>
      </c>
      <c r="P227" s="2">
        <f t="shared" si="16"/>
        <v>9.7629009762901009E-2</v>
      </c>
      <c r="Q227" s="2">
        <f t="shared" si="17"/>
        <v>0.1534683855125844</v>
      </c>
      <c r="R227" t="str">
        <f t="shared" si="18"/>
        <v>Cancelled</v>
      </c>
      <c r="S227" t="str">
        <f t="shared" si="19"/>
        <v>Status-Date Conflict</v>
      </c>
    </row>
    <row r="228" spans="1:19" x14ac:dyDescent="0.25">
      <c r="A228" t="s">
        <v>253</v>
      </c>
      <c r="B228" t="s">
        <v>17</v>
      </c>
      <c r="C228" s="1">
        <v>45129</v>
      </c>
      <c r="D228" s="1">
        <v>45141</v>
      </c>
      <c r="E228" t="s">
        <v>26</v>
      </c>
      <c r="F228" t="s">
        <v>18</v>
      </c>
      <c r="G228">
        <v>1413</v>
      </c>
      <c r="H228" s="3">
        <v>54.79</v>
      </c>
      <c r="I228" s="3">
        <v>50.42</v>
      </c>
      <c r="K228" t="s">
        <v>15</v>
      </c>
      <c r="L228">
        <f t="shared" si="15"/>
        <v>12</v>
      </c>
      <c r="M228" s="3">
        <f>Table1[[#This Row],[Quantity]]*Table1[[#This Row],[Negotiated_Price]]</f>
        <v>71243.460000000006</v>
      </c>
      <c r="N228" s="3">
        <f>Table1[[#This Row],[Quantity]]*Table1[[#This Row],[Unit_Price]]</f>
        <v>77418.27</v>
      </c>
      <c r="O228" s="3">
        <f>Table1[[#This Row],[ Original_Spend ]]-Table1[[#This Row],[ Total_Spend ]]</f>
        <v>6174.8099999999977</v>
      </c>
      <c r="P228" s="2">
        <f t="shared" si="16"/>
        <v>7.9759080124110204E-2</v>
      </c>
      <c r="Q228" s="2">
        <f t="shared" si="17"/>
        <v>0</v>
      </c>
      <c r="R228" t="str">
        <f t="shared" si="18"/>
        <v>Late</v>
      </c>
      <c r="S228" t="str">
        <f t="shared" si="19"/>
        <v>OK</v>
      </c>
    </row>
    <row r="229" spans="1:19" x14ac:dyDescent="0.25">
      <c r="A229" t="s">
        <v>254</v>
      </c>
      <c r="B229" t="s">
        <v>29</v>
      </c>
      <c r="C229" s="1">
        <v>44797</v>
      </c>
      <c r="D229" s="1">
        <v>44800</v>
      </c>
      <c r="E229" t="s">
        <v>24</v>
      </c>
      <c r="F229" t="s">
        <v>18</v>
      </c>
      <c r="G229">
        <v>1871</v>
      </c>
      <c r="H229" s="3">
        <v>59.96</v>
      </c>
      <c r="I229" s="3">
        <v>58.54</v>
      </c>
      <c r="J229">
        <v>47</v>
      </c>
      <c r="K229" t="s">
        <v>15</v>
      </c>
      <c r="L229">
        <f t="shared" si="15"/>
        <v>3</v>
      </c>
      <c r="M229" s="3">
        <f>Table1[[#This Row],[Quantity]]*Table1[[#This Row],[Negotiated_Price]]</f>
        <v>109528.34</v>
      </c>
      <c r="N229" s="3">
        <f>Table1[[#This Row],[Quantity]]*Table1[[#This Row],[Unit_Price]]</f>
        <v>112185.16</v>
      </c>
      <c r="O229" s="3">
        <f>Table1[[#This Row],[ Original_Spend ]]-Table1[[#This Row],[ Total_Spend ]]</f>
        <v>2656.820000000007</v>
      </c>
      <c r="P229" s="2">
        <f t="shared" si="16"/>
        <v>2.368245496998005E-2</v>
      </c>
      <c r="Q229" s="2">
        <f t="shared" si="17"/>
        <v>2.512025654730091E-2</v>
      </c>
      <c r="R229" t="str">
        <f t="shared" si="18"/>
        <v>On Time</v>
      </c>
      <c r="S229" t="str">
        <f t="shared" si="19"/>
        <v>OK</v>
      </c>
    </row>
    <row r="230" spans="1:19" x14ac:dyDescent="0.25">
      <c r="A230" t="s">
        <v>255</v>
      </c>
      <c r="B230" t="s">
        <v>20</v>
      </c>
      <c r="C230" s="1">
        <v>45164</v>
      </c>
      <c r="E230" t="s">
        <v>26</v>
      </c>
      <c r="F230" t="s">
        <v>18</v>
      </c>
      <c r="G230">
        <v>1404</v>
      </c>
      <c r="H230" s="3">
        <v>34.85</v>
      </c>
      <c r="I230" s="3">
        <v>30.5</v>
      </c>
      <c r="J230">
        <v>78</v>
      </c>
      <c r="K230" t="s">
        <v>15</v>
      </c>
      <c r="L230" t="str">
        <f t="shared" si="15"/>
        <v/>
      </c>
      <c r="M230" s="3">
        <f>Table1[[#This Row],[Quantity]]*Table1[[#This Row],[Negotiated_Price]]</f>
        <v>42822</v>
      </c>
      <c r="N230" s="3">
        <f>Table1[[#This Row],[Quantity]]*Table1[[#This Row],[Unit_Price]]</f>
        <v>48929.4</v>
      </c>
      <c r="O230" s="3">
        <f>Table1[[#This Row],[ Original_Spend ]]-Table1[[#This Row],[ Total_Spend ]]</f>
        <v>6107.4000000000015</v>
      </c>
      <c r="P230" s="2">
        <f t="shared" si="16"/>
        <v>0.12482065997130562</v>
      </c>
      <c r="Q230" s="2">
        <f t="shared" si="17"/>
        <v>5.5555555555555552E-2</v>
      </c>
      <c r="R230" t="str">
        <f t="shared" si="18"/>
        <v>Missing Delivery Date</v>
      </c>
      <c r="S230" t="str">
        <f t="shared" si="19"/>
        <v>Missing Delivery Date</v>
      </c>
    </row>
    <row r="231" spans="1:19" x14ac:dyDescent="0.25">
      <c r="A231" t="s">
        <v>256</v>
      </c>
      <c r="B231" t="s">
        <v>20</v>
      </c>
      <c r="C231" s="1">
        <v>44787</v>
      </c>
      <c r="D231" s="1">
        <v>44801</v>
      </c>
      <c r="E231" t="s">
        <v>39</v>
      </c>
      <c r="F231" t="s">
        <v>18</v>
      </c>
      <c r="G231">
        <v>1713</v>
      </c>
      <c r="H231" s="3">
        <v>35.43</v>
      </c>
      <c r="I231" s="3">
        <v>34.11</v>
      </c>
      <c r="J231">
        <v>74</v>
      </c>
      <c r="K231" t="s">
        <v>15</v>
      </c>
      <c r="L231">
        <f t="shared" si="15"/>
        <v>14</v>
      </c>
      <c r="M231" s="3">
        <f>Table1[[#This Row],[Quantity]]*Table1[[#This Row],[Negotiated_Price]]</f>
        <v>58430.43</v>
      </c>
      <c r="N231" s="3">
        <f>Table1[[#This Row],[Quantity]]*Table1[[#This Row],[Unit_Price]]</f>
        <v>60691.59</v>
      </c>
      <c r="O231" s="3">
        <f>Table1[[#This Row],[ Original_Spend ]]-Table1[[#This Row],[ Total_Spend ]]</f>
        <v>2261.1599999999962</v>
      </c>
      <c r="P231" s="2">
        <f t="shared" si="16"/>
        <v>3.7256562235393677E-2</v>
      </c>
      <c r="Q231" s="2">
        <f t="shared" si="17"/>
        <v>4.3199065966141273E-2</v>
      </c>
      <c r="R231" t="str">
        <f t="shared" si="18"/>
        <v>Late</v>
      </c>
      <c r="S231" t="str">
        <f t="shared" si="19"/>
        <v>OK</v>
      </c>
    </row>
    <row r="232" spans="1:19" x14ac:dyDescent="0.25">
      <c r="A232" t="s">
        <v>257</v>
      </c>
      <c r="B232" t="s">
        <v>20</v>
      </c>
      <c r="C232" s="1">
        <v>44569</v>
      </c>
      <c r="D232" s="1">
        <v>44574</v>
      </c>
      <c r="E232" t="s">
        <v>39</v>
      </c>
      <c r="F232" t="s">
        <v>18</v>
      </c>
      <c r="G232">
        <v>1579</v>
      </c>
      <c r="H232" s="3">
        <v>43.96</v>
      </c>
      <c r="I232" s="3">
        <v>43.41</v>
      </c>
      <c r="J232">
        <v>74</v>
      </c>
      <c r="K232" t="s">
        <v>15</v>
      </c>
      <c r="L232">
        <f t="shared" si="15"/>
        <v>5</v>
      </c>
      <c r="M232" s="3">
        <f>Table1[[#This Row],[Quantity]]*Table1[[#This Row],[Negotiated_Price]]</f>
        <v>68544.39</v>
      </c>
      <c r="N232" s="3">
        <f>Table1[[#This Row],[Quantity]]*Table1[[#This Row],[Unit_Price]]</f>
        <v>69412.84</v>
      </c>
      <c r="O232" s="3">
        <f>Table1[[#This Row],[ Original_Spend ]]-Table1[[#This Row],[ Total_Spend ]]</f>
        <v>868.44999999999709</v>
      </c>
      <c r="P232" s="2">
        <f t="shared" si="16"/>
        <v>1.2511373976342088E-2</v>
      </c>
      <c r="Q232" s="2">
        <f t="shared" si="17"/>
        <v>4.6865104496516784E-2</v>
      </c>
      <c r="R232" t="str">
        <f t="shared" si="18"/>
        <v>On Time</v>
      </c>
      <c r="S232" t="str">
        <f t="shared" si="19"/>
        <v>OK</v>
      </c>
    </row>
    <row r="233" spans="1:19" x14ac:dyDescent="0.25">
      <c r="A233" t="s">
        <v>258</v>
      </c>
      <c r="B233" t="s">
        <v>20</v>
      </c>
      <c r="C233" s="1">
        <v>44634</v>
      </c>
      <c r="D233" s="1">
        <v>44646</v>
      </c>
      <c r="E233" t="s">
        <v>39</v>
      </c>
      <c r="F233" t="s">
        <v>18</v>
      </c>
      <c r="G233">
        <v>1421</v>
      </c>
      <c r="H233" s="3">
        <v>11.92</v>
      </c>
      <c r="I233" s="3">
        <v>11.72</v>
      </c>
      <c r="J233">
        <v>76</v>
      </c>
      <c r="K233" t="s">
        <v>15</v>
      </c>
      <c r="L233">
        <f t="shared" si="15"/>
        <v>12</v>
      </c>
      <c r="M233" s="3">
        <f>Table1[[#This Row],[Quantity]]*Table1[[#This Row],[Negotiated_Price]]</f>
        <v>16654.120000000003</v>
      </c>
      <c r="N233" s="3">
        <f>Table1[[#This Row],[Quantity]]*Table1[[#This Row],[Unit_Price]]</f>
        <v>16938.32</v>
      </c>
      <c r="O233" s="3">
        <f>Table1[[#This Row],[ Original_Spend ]]-Table1[[#This Row],[ Total_Spend ]]</f>
        <v>284.19999999999709</v>
      </c>
      <c r="P233" s="2">
        <f t="shared" si="16"/>
        <v>1.6778523489932716E-2</v>
      </c>
      <c r="Q233" s="2">
        <f t="shared" si="17"/>
        <v>5.3483462350457422E-2</v>
      </c>
      <c r="R233" t="str">
        <f t="shared" si="18"/>
        <v>Late</v>
      </c>
      <c r="S233" t="str">
        <f t="shared" si="19"/>
        <v>OK</v>
      </c>
    </row>
    <row r="234" spans="1:19" x14ac:dyDescent="0.25">
      <c r="A234" t="s">
        <v>259</v>
      </c>
      <c r="B234" t="s">
        <v>29</v>
      </c>
      <c r="C234" s="1">
        <v>45286</v>
      </c>
      <c r="D234" s="1">
        <v>45295</v>
      </c>
      <c r="E234" t="s">
        <v>21</v>
      </c>
      <c r="F234" t="s">
        <v>18</v>
      </c>
      <c r="G234">
        <v>1546</v>
      </c>
      <c r="H234" s="3">
        <v>43.47</v>
      </c>
      <c r="I234" s="3">
        <v>37.369999999999997</v>
      </c>
      <c r="J234">
        <v>53</v>
      </c>
      <c r="K234" t="s">
        <v>15</v>
      </c>
      <c r="L234">
        <f t="shared" si="15"/>
        <v>9</v>
      </c>
      <c r="M234" s="3">
        <f>Table1[[#This Row],[Quantity]]*Table1[[#This Row],[Negotiated_Price]]</f>
        <v>57774.02</v>
      </c>
      <c r="N234" s="3">
        <f>Table1[[#This Row],[Quantity]]*Table1[[#This Row],[Unit_Price]]</f>
        <v>67204.62</v>
      </c>
      <c r="O234" s="3">
        <f>Table1[[#This Row],[ Original_Spend ]]-Table1[[#This Row],[ Total_Spend ]]</f>
        <v>9430.5999999999985</v>
      </c>
      <c r="P234" s="2">
        <f t="shared" si="16"/>
        <v>0.1403266620657925</v>
      </c>
      <c r="Q234" s="2">
        <f t="shared" si="17"/>
        <v>3.428201811125485E-2</v>
      </c>
      <c r="R234" t="str">
        <f t="shared" si="18"/>
        <v>On Time</v>
      </c>
      <c r="S234" t="str">
        <f t="shared" si="19"/>
        <v>OK</v>
      </c>
    </row>
    <row r="235" spans="1:19" x14ac:dyDescent="0.25">
      <c r="A235" t="s">
        <v>260</v>
      </c>
      <c r="B235" t="s">
        <v>17</v>
      </c>
      <c r="C235" s="1">
        <v>45208</v>
      </c>
      <c r="D235" s="1">
        <v>45217</v>
      </c>
      <c r="E235" t="s">
        <v>39</v>
      </c>
      <c r="F235" t="s">
        <v>18</v>
      </c>
      <c r="G235">
        <v>1304</v>
      </c>
      <c r="H235" s="3">
        <v>32.08</v>
      </c>
      <c r="I235" s="3">
        <v>29.36</v>
      </c>
      <c r="K235" t="s">
        <v>15</v>
      </c>
      <c r="L235">
        <f t="shared" si="15"/>
        <v>9</v>
      </c>
      <c r="M235" s="3">
        <f>Table1[[#This Row],[Quantity]]*Table1[[#This Row],[Negotiated_Price]]</f>
        <v>38285.440000000002</v>
      </c>
      <c r="N235" s="3">
        <f>Table1[[#This Row],[Quantity]]*Table1[[#This Row],[Unit_Price]]</f>
        <v>41832.32</v>
      </c>
      <c r="O235" s="3">
        <f>Table1[[#This Row],[ Original_Spend ]]-Table1[[#This Row],[ Total_Spend ]]</f>
        <v>3546.8799999999974</v>
      </c>
      <c r="P235" s="2">
        <f t="shared" si="16"/>
        <v>8.478802992518697E-2</v>
      </c>
      <c r="Q235" s="2">
        <f t="shared" si="17"/>
        <v>0</v>
      </c>
      <c r="R235" t="str">
        <f t="shared" si="18"/>
        <v>On Time</v>
      </c>
      <c r="S235" t="str">
        <f t="shared" si="19"/>
        <v>OK</v>
      </c>
    </row>
    <row r="236" spans="1:19" x14ac:dyDescent="0.25">
      <c r="A236" t="s">
        <v>261</v>
      </c>
      <c r="B236" t="s">
        <v>17</v>
      </c>
      <c r="C236" s="1">
        <v>44622</v>
      </c>
      <c r="E236" t="s">
        <v>26</v>
      </c>
      <c r="F236" t="s">
        <v>18</v>
      </c>
      <c r="G236">
        <v>239</v>
      </c>
      <c r="H236" s="3">
        <v>39.869999999999997</v>
      </c>
      <c r="I236" s="3">
        <v>35.47</v>
      </c>
      <c r="J236">
        <v>32</v>
      </c>
      <c r="K236" t="s">
        <v>15</v>
      </c>
      <c r="L236" t="str">
        <f t="shared" si="15"/>
        <v/>
      </c>
      <c r="M236" s="3">
        <f>Table1[[#This Row],[Quantity]]*Table1[[#This Row],[Negotiated_Price]]</f>
        <v>8477.33</v>
      </c>
      <c r="N236" s="3">
        <f>Table1[[#This Row],[Quantity]]*Table1[[#This Row],[Unit_Price]]</f>
        <v>9528.93</v>
      </c>
      <c r="O236" s="3">
        <f>Table1[[#This Row],[ Original_Spend ]]-Table1[[#This Row],[ Total_Spend ]]</f>
        <v>1051.6000000000004</v>
      </c>
      <c r="P236" s="2">
        <f t="shared" si="16"/>
        <v>0.1103586656634061</v>
      </c>
      <c r="Q236" s="2">
        <f t="shared" si="17"/>
        <v>0.13389121338912133</v>
      </c>
      <c r="R236" t="str">
        <f t="shared" si="18"/>
        <v>Missing Delivery Date</v>
      </c>
      <c r="S236" t="str">
        <f t="shared" si="19"/>
        <v>Missing Delivery Date</v>
      </c>
    </row>
    <row r="237" spans="1:19" x14ac:dyDescent="0.25">
      <c r="A237" t="s">
        <v>262</v>
      </c>
      <c r="B237" t="s">
        <v>12</v>
      </c>
      <c r="C237" s="1">
        <v>44796</v>
      </c>
      <c r="E237" t="s">
        <v>13</v>
      </c>
      <c r="F237" t="s">
        <v>18</v>
      </c>
      <c r="G237">
        <v>1298</v>
      </c>
      <c r="H237" s="3">
        <v>21.51</v>
      </c>
      <c r="I237" s="3">
        <v>20.83</v>
      </c>
      <c r="K237" t="s">
        <v>15</v>
      </c>
      <c r="L237" t="str">
        <f t="shared" si="15"/>
        <v/>
      </c>
      <c r="M237" s="3">
        <f>Table1[[#This Row],[Quantity]]*Table1[[#This Row],[Negotiated_Price]]</f>
        <v>27037.339999999997</v>
      </c>
      <c r="N237" s="3">
        <f>Table1[[#This Row],[Quantity]]*Table1[[#This Row],[Unit_Price]]</f>
        <v>27919.980000000003</v>
      </c>
      <c r="O237" s="3">
        <f>Table1[[#This Row],[ Original_Spend ]]-Table1[[#This Row],[ Total_Spend ]]</f>
        <v>882.64000000000669</v>
      </c>
      <c r="P237" s="2">
        <f t="shared" si="16"/>
        <v>3.1613203161320554E-2</v>
      </c>
      <c r="Q237" s="2">
        <f t="shared" si="17"/>
        <v>0</v>
      </c>
      <c r="R237" t="str">
        <f t="shared" si="18"/>
        <v>Missing Delivery Date</v>
      </c>
      <c r="S237" t="str">
        <f t="shared" si="19"/>
        <v>Missing Delivery Date</v>
      </c>
    </row>
    <row r="238" spans="1:19" x14ac:dyDescent="0.25">
      <c r="A238" t="s">
        <v>263</v>
      </c>
      <c r="B238" t="s">
        <v>17</v>
      </c>
      <c r="C238" s="1">
        <v>44631</v>
      </c>
      <c r="E238" t="s">
        <v>21</v>
      </c>
      <c r="F238" t="s">
        <v>18</v>
      </c>
      <c r="G238">
        <v>1458</v>
      </c>
      <c r="H238" s="3">
        <v>91.05</v>
      </c>
      <c r="I238" s="3">
        <v>81.56</v>
      </c>
      <c r="J238">
        <v>220</v>
      </c>
      <c r="K238" t="s">
        <v>15</v>
      </c>
      <c r="L238" t="str">
        <f t="shared" si="15"/>
        <v/>
      </c>
      <c r="M238" s="3">
        <f>Table1[[#This Row],[Quantity]]*Table1[[#This Row],[Negotiated_Price]]</f>
        <v>118914.48000000001</v>
      </c>
      <c r="N238" s="3">
        <f>Table1[[#This Row],[Quantity]]*Table1[[#This Row],[Unit_Price]]</f>
        <v>132750.9</v>
      </c>
      <c r="O238" s="3">
        <f>Table1[[#This Row],[ Original_Spend ]]-Table1[[#This Row],[ Total_Spend ]]</f>
        <v>13836.419999999984</v>
      </c>
      <c r="P238" s="2">
        <f t="shared" si="16"/>
        <v>0.10422844590884117</v>
      </c>
      <c r="Q238" s="2">
        <f t="shared" si="17"/>
        <v>0.15089163237311384</v>
      </c>
      <c r="R238" t="str">
        <f t="shared" si="18"/>
        <v>Missing Delivery Date</v>
      </c>
      <c r="S238" t="str">
        <f t="shared" si="19"/>
        <v>Missing Delivery Date</v>
      </c>
    </row>
    <row r="239" spans="1:19" x14ac:dyDescent="0.25">
      <c r="A239" t="s">
        <v>264</v>
      </c>
      <c r="B239" t="s">
        <v>20</v>
      </c>
      <c r="C239" s="1">
        <v>44594</v>
      </c>
      <c r="D239" s="1">
        <v>44605</v>
      </c>
      <c r="E239" t="s">
        <v>21</v>
      </c>
      <c r="F239" t="s">
        <v>18</v>
      </c>
      <c r="G239">
        <v>1450</v>
      </c>
      <c r="H239" s="3">
        <v>63.74</v>
      </c>
      <c r="I239" s="3">
        <v>59.11</v>
      </c>
      <c r="J239">
        <v>71</v>
      </c>
      <c r="K239" t="s">
        <v>15</v>
      </c>
      <c r="L239">
        <f t="shared" si="15"/>
        <v>11</v>
      </c>
      <c r="M239" s="3">
        <f>Table1[[#This Row],[Quantity]]*Table1[[#This Row],[Negotiated_Price]]</f>
        <v>85709.5</v>
      </c>
      <c r="N239" s="3">
        <f>Table1[[#This Row],[Quantity]]*Table1[[#This Row],[Unit_Price]]</f>
        <v>92423</v>
      </c>
      <c r="O239" s="3">
        <f>Table1[[#This Row],[ Original_Spend ]]-Table1[[#This Row],[ Total_Spend ]]</f>
        <v>6713.5</v>
      </c>
      <c r="P239" s="2">
        <f t="shared" si="16"/>
        <v>7.2638845309068084E-2</v>
      </c>
      <c r="Q239" s="2">
        <f t="shared" si="17"/>
        <v>4.8965517241379312E-2</v>
      </c>
      <c r="R239" t="str">
        <f t="shared" si="18"/>
        <v>Late</v>
      </c>
      <c r="S239" t="str">
        <f t="shared" si="19"/>
        <v>OK</v>
      </c>
    </row>
    <row r="240" spans="1:19" x14ac:dyDescent="0.25">
      <c r="A240" t="s">
        <v>265</v>
      </c>
      <c r="B240" t="s">
        <v>23</v>
      </c>
      <c r="C240" s="1">
        <v>44900</v>
      </c>
      <c r="D240" s="1">
        <v>44915</v>
      </c>
      <c r="E240" t="s">
        <v>39</v>
      </c>
      <c r="F240" t="s">
        <v>18</v>
      </c>
      <c r="G240">
        <v>1356</v>
      </c>
      <c r="H240" s="3">
        <v>75.03</v>
      </c>
      <c r="I240" s="3">
        <v>63.86</v>
      </c>
      <c r="J240">
        <v>131</v>
      </c>
      <c r="K240" t="s">
        <v>15</v>
      </c>
      <c r="L240">
        <f t="shared" si="15"/>
        <v>15</v>
      </c>
      <c r="M240" s="3">
        <f>Table1[[#This Row],[Quantity]]*Table1[[#This Row],[Negotiated_Price]]</f>
        <v>86594.16</v>
      </c>
      <c r="N240" s="3">
        <f>Table1[[#This Row],[Quantity]]*Table1[[#This Row],[Unit_Price]]</f>
        <v>101740.68000000001</v>
      </c>
      <c r="O240" s="3">
        <f>Table1[[#This Row],[ Original_Spend ]]-Table1[[#This Row],[ Total_Spend ]]</f>
        <v>15146.520000000004</v>
      </c>
      <c r="P240" s="2">
        <f t="shared" si="16"/>
        <v>0.14887378381980543</v>
      </c>
      <c r="Q240" s="2">
        <f t="shared" si="17"/>
        <v>9.6607669616519176E-2</v>
      </c>
      <c r="R240" t="str">
        <f t="shared" si="18"/>
        <v>Late</v>
      </c>
      <c r="S240" t="str">
        <f t="shared" si="19"/>
        <v>OK</v>
      </c>
    </row>
    <row r="241" spans="1:19" x14ac:dyDescent="0.25">
      <c r="A241" t="s">
        <v>266</v>
      </c>
      <c r="B241" t="s">
        <v>20</v>
      </c>
      <c r="C241" s="1">
        <v>44634</v>
      </c>
      <c r="E241" t="s">
        <v>24</v>
      </c>
      <c r="F241" t="s">
        <v>18</v>
      </c>
      <c r="G241">
        <v>682</v>
      </c>
      <c r="H241" s="3">
        <v>81.84</v>
      </c>
      <c r="I241" s="3">
        <v>71.86</v>
      </c>
      <c r="J241">
        <v>40</v>
      </c>
      <c r="K241" t="s">
        <v>15</v>
      </c>
      <c r="L241" t="str">
        <f t="shared" si="15"/>
        <v/>
      </c>
      <c r="M241" s="3">
        <f>Table1[[#This Row],[Quantity]]*Table1[[#This Row],[Negotiated_Price]]</f>
        <v>49008.52</v>
      </c>
      <c r="N241" s="3">
        <f>Table1[[#This Row],[Quantity]]*Table1[[#This Row],[Unit_Price]]</f>
        <v>55814.880000000005</v>
      </c>
      <c r="O241" s="3">
        <f>Table1[[#This Row],[ Original_Spend ]]-Table1[[#This Row],[ Total_Spend ]]</f>
        <v>6806.3600000000079</v>
      </c>
      <c r="P241" s="2">
        <f t="shared" si="16"/>
        <v>0.12194525904203336</v>
      </c>
      <c r="Q241" s="2">
        <f t="shared" si="17"/>
        <v>5.865102639296188E-2</v>
      </c>
      <c r="R241" t="str">
        <f t="shared" si="18"/>
        <v>Missing Delivery Date</v>
      </c>
      <c r="S241" t="str">
        <f t="shared" si="19"/>
        <v>Missing Delivery Date</v>
      </c>
    </row>
    <row r="242" spans="1:19" x14ac:dyDescent="0.25">
      <c r="A242" t="s">
        <v>267</v>
      </c>
      <c r="B242" t="s">
        <v>20</v>
      </c>
      <c r="C242" s="1">
        <v>45088</v>
      </c>
      <c r="D242" s="1">
        <v>45096</v>
      </c>
      <c r="E242" t="s">
        <v>24</v>
      </c>
      <c r="F242" t="s">
        <v>18</v>
      </c>
      <c r="G242">
        <v>677</v>
      </c>
      <c r="H242" s="3">
        <v>59.52</v>
      </c>
      <c r="I242" s="3">
        <v>55.29</v>
      </c>
      <c r="J242">
        <v>39</v>
      </c>
      <c r="K242" t="s">
        <v>15</v>
      </c>
      <c r="L242">
        <f t="shared" si="15"/>
        <v>8</v>
      </c>
      <c r="M242" s="3">
        <f>Table1[[#This Row],[Quantity]]*Table1[[#This Row],[Negotiated_Price]]</f>
        <v>37431.33</v>
      </c>
      <c r="N242" s="3">
        <f>Table1[[#This Row],[Quantity]]*Table1[[#This Row],[Unit_Price]]</f>
        <v>40295.040000000001</v>
      </c>
      <c r="O242" s="3">
        <f>Table1[[#This Row],[ Original_Spend ]]-Table1[[#This Row],[ Total_Spend ]]</f>
        <v>2863.7099999999991</v>
      </c>
      <c r="P242" s="2">
        <f t="shared" si="16"/>
        <v>7.1068548387096753E-2</v>
      </c>
      <c r="Q242" s="2">
        <f t="shared" si="17"/>
        <v>5.7607090103397339E-2</v>
      </c>
      <c r="R242" t="str">
        <f t="shared" si="18"/>
        <v>On Time</v>
      </c>
      <c r="S242" t="str">
        <f t="shared" si="19"/>
        <v>OK</v>
      </c>
    </row>
    <row r="243" spans="1:19" x14ac:dyDescent="0.25">
      <c r="A243" t="s">
        <v>268</v>
      </c>
      <c r="B243" t="s">
        <v>17</v>
      </c>
      <c r="C243" s="1">
        <v>44805</v>
      </c>
      <c r="D243" s="1">
        <v>44818</v>
      </c>
      <c r="E243" t="s">
        <v>13</v>
      </c>
      <c r="F243" t="s">
        <v>18</v>
      </c>
      <c r="G243">
        <v>1022</v>
      </c>
      <c r="H243" s="3">
        <v>18.54</v>
      </c>
      <c r="I243" s="3">
        <v>16.55</v>
      </c>
      <c r="J243">
        <v>150</v>
      </c>
      <c r="K243" t="s">
        <v>15</v>
      </c>
      <c r="L243">
        <f t="shared" si="15"/>
        <v>13</v>
      </c>
      <c r="M243" s="3">
        <f>Table1[[#This Row],[Quantity]]*Table1[[#This Row],[Negotiated_Price]]</f>
        <v>16914.100000000002</v>
      </c>
      <c r="N243" s="3">
        <f>Table1[[#This Row],[Quantity]]*Table1[[#This Row],[Unit_Price]]</f>
        <v>18947.879999999997</v>
      </c>
      <c r="O243" s="3">
        <f>Table1[[#This Row],[ Original_Spend ]]-Table1[[#This Row],[ Total_Spend ]]</f>
        <v>2033.7799999999952</v>
      </c>
      <c r="P243" s="2">
        <f t="shared" si="16"/>
        <v>0.10733549083063622</v>
      </c>
      <c r="Q243" s="2">
        <f t="shared" si="17"/>
        <v>0.14677103718199608</v>
      </c>
      <c r="R243" t="str">
        <f t="shared" si="18"/>
        <v>Late</v>
      </c>
      <c r="S243" t="str">
        <f t="shared" si="19"/>
        <v>OK</v>
      </c>
    </row>
    <row r="244" spans="1:19" x14ac:dyDescent="0.25">
      <c r="A244" t="s">
        <v>269</v>
      </c>
      <c r="B244" t="s">
        <v>12</v>
      </c>
      <c r="C244" s="1">
        <v>44847</v>
      </c>
      <c r="E244" t="s">
        <v>26</v>
      </c>
      <c r="F244" t="s">
        <v>18</v>
      </c>
      <c r="G244">
        <v>1818</v>
      </c>
      <c r="H244" s="3">
        <v>60.96</v>
      </c>
      <c r="I244" s="3">
        <v>57.13</v>
      </c>
      <c r="J244">
        <v>41</v>
      </c>
      <c r="K244" t="s">
        <v>15</v>
      </c>
      <c r="L244" t="str">
        <f t="shared" si="15"/>
        <v/>
      </c>
      <c r="M244" s="3">
        <f>Table1[[#This Row],[Quantity]]*Table1[[#This Row],[Negotiated_Price]]</f>
        <v>103862.34000000001</v>
      </c>
      <c r="N244" s="3">
        <f>Table1[[#This Row],[Quantity]]*Table1[[#This Row],[Unit_Price]]</f>
        <v>110825.28</v>
      </c>
      <c r="O244" s="3">
        <f>Table1[[#This Row],[ Original_Spend ]]-Table1[[#This Row],[ Total_Spend ]]</f>
        <v>6962.9399999999878</v>
      </c>
      <c r="P244" s="2">
        <f t="shared" si="16"/>
        <v>6.2828083989501196E-2</v>
      </c>
      <c r="Q244" s="2">
        <f t="shared" si="17"/>
        <v>2.2552255225522552E-2</v>
      </c>
      <c r="R244" t="str">
        <f t="shared" si="18"/>
        <v>Missing Delivery Date</v>
      </c>
      <c r="S244" t="str">
        <f t="shared" si="19"/>
        <v>Missing Delivery Date</v>
      </c>
    </row>
    <row r="245" spans="1:19" x14ac:dyDescent="0.25">
      <c r="A245" t="s">
        <v>270</v>
      </c>
      <c r="B245" t="s">
        <v>29</v>
      </c>
      <c r="C245" s="1">
        <v>45247</v>
      </c>
      <c r="D245" s="1">
        <v>45259</v>
      </c>
      <c r="E245" t="s">
        <v>39</v>
      </c>
      <c r="F245" t="s">
        <v>18</v>
      </c>
      <c r="G245">
        <v>1332</v>
      </c>
      <c r="H245" s="3">
        <v>69.73</v>
      </c>
      <c r="I245" s="3">
        <v>63.8</v>
      </c>
      <c r="J245">
        <v>41</v>
      </c>
      <c r="K245" t="s">
        <v>15</v>
      </c>
      <c r="L245">
        <f t="shared" si="15"/>
        <v>12</v>
      </c>
      <c r="M245" s="3">
        <f>Table1[[#This Row],[Quantity]]*Table1[[#This Row],[Negotiated_Price]]</f>
        <v>84981.599999999991</v>
      </c>
      <c r="N245" s="3">
        <f>Table1[[#This Row],[Quantity]]*Table1[[#This Row],[Unit_Price]]</f>
        <v>92880.36</v>
      </c>
      <c r="O245" s="3">
        <f>Table1[[#This Row],[ Original_Spend ]]-Table1[[#This Row],[ Total_Spend ]]</f>
        <v>7898.7600000000093</v>
      </c>
      <c r="P245" s="2">
        <f t="shared" si="16"/>
        <v>8.5042306037573595E-2</v>
      </c>
      <c r="Q245" s="2">
        <f t="shared" si="17"/>
        <v>3.0780780780780781E-2</v>
      </c>
      <c r="R245" t="str">
        <f t="shared" si="18"/>
        <v>Late</v>
      </c>
      <c r="S245" t="str">
        <f t="shared" si="19"/>
        <v>OK</v>
      </c>
    </row>
    <row r="246" spans="1:19" x14ac:dyDescent="0.25">
      <c r="A246" t="s">
        <v>271</v>
      </c>
      <c r="B246" t="s">
        <v>23</v>
      </c>
      <c r="C246" s="1">
        <v>45059</v>
      </c>
      <c r="D246" s="1">
        <v>45072</v>
      </c>
      <c r="E246" t="s">
        <v>26</v>
      </c>
      <c r="F246" t="s">
        <v>18</v>
      </c>
      <c r="G246">
        <v>1432</v>
      </c>
      <c r="H246" s="3">
        <v>83.26</v>
      </c>
      <c r="I246" s="3">
        <v>77.67</v>
      </c>
      <c r="J246">
        <v>174</v>
      </c>
      <c r="K246" t="s">
        <v>15</v>
      </c>
      <c r="L246">
        <f t="shared" si="15"/>
        <v>13</v>
      </c>
      <c r="M246" s="3">
        <f>Table1[[#This Row],[Quantity]]*Table1[[#This Row],[Negotiated_Price]]</f>
        <v>111223.44</v>
      </c>
      <c r="N246" s="3">
        <f>Table1[[#This Row],[Quantity]]*Table1[[#This Row],[Unit_Price]]</f>
        <v>119228.32</v>
      </c>
      <c r="O246" s="3">
        <f>Table1[[#This Row],[ Original_Spend ]]-Table1[[#This Row],[ Total_Spend ]]</f>
        <v>8004.8800000000047</v>
      </c>
      <c r="P246" s="2">
        <f t="shared" si="16"/>
        <v>6.7139082392505434E-2</v>
      </c>
      <c r="Q246" s="2">
        <f t="shared" si="17"/>
        <v>0.12150837988826815</v>
      </c>
      <c r="R246" t="str">
        <f t="shared" si="18"/>
        <v>Late</v>
      </c>
      <c r="S246" t="str">
        <f t="shared" si="19"/>
        <v>OK</v>
      </c>
    </row>
    <row r="247" spans="1:19" x14ac:dyDescent="0.25">
      <c r="A247" t="s">
        <v>272</v>
      </c>
      <c r="B247" t="s">
        <v>23</v>
      </c>
      <c r="C247" s="1">
        <v>44781</v>
      </c>
      <c r="D247" s="1">
        <v>44799</v>
      </c>
      <c r="E247" t="s">
        <v>24</v>
      </c>
      <c r="F247" t="s">
        <v>35</v>
      </c>
      <c r="G247">
        <v>759</v>
      </c>
      <c r="H247" s="3">
        <v>50.56</v>
      </c>
      <c r="I247" s="3">
        <v>46.47</v>
      </c>
      <c r="J247">
        <v>63</v>
      </c>
      <c r="K247" t="s">
        <v>27</v>
      </c>
      <c r="L247">
        <f t="shared" si="15"/>
        <v>18</v>
      </c>
      <c r="M247" s="3">
        <f>Table1[[#This Row],[Quantity]]*Table1[[#This Row],[Negotiated_Price]]</f>
        <v>35270.729999999996</v>
      </c>
      <c r="N247" s="3">
        <f>Table1[[#This Row],[Quantity]]*Table1[[#This Row],[Unit_Price]]</f>
        <v>38375.040000000001</v>
      </c>
      <c r="O247" s="3">
        <f>Table1[[#This Row],[ Original_Spend ]]-Table1[[#This Row],[ Total_Spend ]]</f>
        <v>3104.3100000000049</v>
      </c>
      <c r="P247" s="2">
        <f t="shared" si="16"/>
        <v>8.0893987341772278E-2</v>
      </c>
      <c r="Q247" s="2">
        <f t="shared" si="17"/>
        <v>8.3003952569169967E-2</v>
      </c>
      <c r="R247" t="str">
        <f t="shared" si="18"/>
        <v>Pending</v>
      </c>
      <c r="S247" t="str">
        <f t="shared" si="19"/>
        <v>Status-Date Conflict</v>
      </c>
    </row>
    <row r="248" spans="1:19" x14ac:dyDescent="0.25">
      <c r="A248" t="s">
        <v>273</v>
      </c>
      <c r="B248" t="s">
        <v>12</v>
      </c>
      <c r="C248" s="1">
        <v>45114</v>
      </c>
      <c r="D248" s="1">
        <v>45126</v>
      </c>
      <c r="E248" t="s">
        <v>24</v>
      </c>
      <c r="F248" t="s">
        <v>18</v>
      </c>
      <c r="G248">
        <v>1529</v>
      </c>
      <c r="H248" s="3">
        <v>23.42</v>
      </c>
      <c r="I248" s="3">
        <v>22.44</v>
      </c>
      <c r="J248">
        <v>30</v>
      </c>
      <c r="K248" t="s">
        <v>15</v>
      </c>
      <c r="L248">
        <f t="shared" si="15"/>
        <v>12</v>
      </c>
      <c r="M248" s="3">
        <f>Table1[[#This Row],[Quantity]]*Table1[[#This Row],[Negotiated_Price]]</f>
        <v>34310.76</v>
      </c>
      <c r="N248" s="3">
        <f>Table1[[#This Row],[Quantity]]*Table1[[#This Row],[Unit_Price]]</f>
        <v>35809.18</v>
      </c>
      <c r="O248" s="3">
        <f>Table1[[#This Row],[ Original_Spend ]]-Table1[[#This Row],[ Total_Spend ]]</f>
        <v>1498.4199999999983</v>
      </c>
      <c r="P248" s="2">
        <f t="shared" si="16"/>
        <v>4.1844577284372284E-2</v>
      </c>
      <c r="Q248" s="2">
        <f t="shared" si="17"/>
        <v>1.962066710268149E-2</v>
      </c>
      <c r="R248" t="str">
        <f t="shared" si="18"/>
        <v>Late</v>
      </c>
      <c r="S248" t="str">
        <f t="shared" si="19"/>
        <v>OK</v>
      </c>
    </row>
    <row r="249" spans="1:19" x14ac:dyDescent="0.25">
      <c r="A249" t="s">
        <v>274</v>
      </c>
      <c r="B249" t="s">
        <v>20</v>
      </c>
      <c r="C249" s="1">
        <v>44697</v>
      </c>
      <c r="D249" s="1">
        <v>44706</v>
      </c>
      <c r="E249" t="s">
        <v>39</v>
      </c>
      <c r="F249" t="s">
        <v>18</v>
      </c>
      <c r="G249">
        <v>1484</v>
      </c>
      <c r="H249" s="3">
        <v>36.25</v>
      </c>
      <c r="I249" s="3">
        <v>31.8</v>
      </c>
      <c r="J249">
        <v>61</v>
      </c>
      <c r="K249" t="s">
        <v>15</v>
      </c>
      <c r="L249">
        <f t="shared" si="15"/>
        <v>9</v>
      </c>
      <c r="M249" s="3">
        <f>Table1[[#This Row],[Quantity]]*Table1[[#This Row],[Negotiated_Price]]</f>
        <v>47191.200000000004</v>
      </c>
      <c r="N249" s="3">
        <f>Table1[[#This Row],[Quantity]]*Table1[[#This Row],[Unit_Price]]</f>
        <v>53795</v>
      </c>
      <c r="O249" s="3">
        <f>Table1[[#This Row],[ Original_Spend ]]-Table1[[#This Row],[ Total_Spend ]]</f>
        <v>6603.7999999999956</v>
      </c>
      <c r="P249" s="2">
        <f t="shared" si="16"/>
        <v>0.1227586206896551</v>
      </c>
      <c r="Q249" s="2">
        <f t="shared" si="17"/>
        <v>4.1105121293800541E-2</v>
      </c>
      <c r="R249" t="str">
        <f t="shared" si="18"/>
        <v>On Time</v>
      </c>
      <c r="S249" t="str">
        <f t="shared" si="19"/>
        <v>OK</v>
      </c>
    </row>
    <row r="250" spans="1:19" x14ac:dyDescent="0.25">
      <c r="A250" t="s">
        <v>275</v>
      </c>
      <c r="B250" t="s">
        <v>29</v>
      </c>
      <c r="C250" s="1">
        <v>45146</v>
      </c>
      <c r="D250" s="1">
        <v>45158</v>
      </c>
      <c r="E250" t="s">
        <v>24</v>
      </c>
      <c r="F250" t="s">
        <v>18</v>
      </c>
      <c r="G250">
        <v>698</v>
      </c>
      <c r="H250" s="3">
        <v>46.73</v>
      </c>
      <c r="I250" s="3">
        <v>45.61</v>
      </c>
      <c r="J250">
        <v>15</v>
      </c>
      <c r="K250" t="s">
        <v>15</v>
      </c>
      <c r="L250">
        <f t="shared" si="15"/>
        <v>12</v>
      </c>
      <c r="M250" s="3">
        <f>Table1[[#This Row],[Quantity]]*Table1[[#This Row],[Negotiated_Price]]</f>
        <v>31835.78</v>
      </c>
      <c r="N250" s="3">
        <f>Table1[[#This Row],[Quantity]]*Table1[[#This Row],[Unit_Price]]</f>
        <v>32617.539999999997</v>
      </c>
      <c r="O250" s="3">
        <f>Table1[[#This Row],[ Original_Spend ]]-Table1[[#This Row],[ Total_Spend ]]</f>
        <v>781.7599999999984</v>
      </c>
      <c r="P250" s="2">
        <f t="shared" si="16"/>
        <v>2.3967472715600211E-2</v>
      </c>
      <c r="Q250" s="2">
        <f t="shared" si="17"/>
        <v>2.148997134670487E-2</v>
      </c>
      <c r="R250" t="str">
        <f t="shared" si="18"/>
        <v>Late</v>
      </c>
      <c r="S250" t="str">
        <f t="shared" si="19"/>
        <v>OK</v>
      </c>
    </row>
    <row r="251" spans="1:19" x14ac:dyDescent="0.25">
      <c r="A251" t="s">
        <v>276</v>
      </c>
      <c r="B251" t="s">
        <v>29</v>
      </c>
      <c r="C251" s="1">
        <v>45152</v>
      </c>
      <c r="D251" s="1">
        <v>45160</v>
      </c>
      <c r="E251" t="s">
        <v>24</v>
      </c>
      <c r="F251" t="s">
        <v>35</v>
      </c>
      <c r="G251">
        <v>367</v>
      </c>
      <c r="H251" s="3">
        <v>74.61</v>
      </c>
      <c r="I251" s="3">
        <v>71.36</v>
      </c>
      <c r="J251">
        <v>13</v>
      </c>
      <c r="K251" t="s">
        <v>15</v>
      </c>
      <c r="L251">
        <f t="shared" si="15"/>
        <v>8</v>
      </c>
      <c r="M251" s="3">
        <f>Table1[[#This Row],[Quantity]]*Table1[[#This Row],[Negotiated_Price]]</f>
        <v>26189.119999999999</v>
      </c>
      <c r="N251" s="3">
        <f>Table1[[#This Row],[Quantity]]*Table1[[#This Row],[Unit_Price]]</f>
        <v>27381.87</v>
      </c>
      <c r="O251" s="3">
        <f>Table1[[#This Row],[ Original_Spend ]]-Table1[[#This Row],[ Total_Spend ]]</f>
        <v>1192.75</v>
      </c>
      <c r="P251" s="2">
        <f t="shared" si="16"/>
        <v>4.3559844524862619E-2</v>
      </c>
      <c r="Q251" s="2">
        <f t="shared" si="17"/>
        <v>3.5422343324250684E-2</v>
      </c>
      <c r="R251" t="str">
        <f t="shared" si="18"/>
        <v>Pending</v>
      </c>
      <c r="S251" t="str">
        <f t="shared" si="19"/>
        <v>Status-Date Conflict</v>
      </c>
    </row>
    <row r="252" spans="1:19" x14ac:dyDescent="0.25">
      <c r="A252" t="s">
        <v>277</v>
      </c>
      <c r="B252" t="s">
        <v>29</v>
      </c>
      <c r="C252" s="1">
        <v>45046</v>
      </c>
      <c r="D252" s="1">
        <v>45066</v>
      </c>
      <c r="E252" t="s">
        <v>13</v>
      </c>
      <c r="F252" t="s">
        <v>33</v>
      </c>
      <c r="G252">
        <v>1750</v>
      </c>
      <c r="H252" s="3">
        <v>65.97</v>
      </c>
      <c r="I252" s="3">
        <v>58.34</v>
      </c>
      <c r="J252">
        <v>50</v>
      </c>
      <c r="K252" t="s">
        <v>15</v>
      </c>
      <c r="L252">
        <f t="shared" si="15"/>
        <v>20</v>
      </c>
      <c r="M252" s="3">
        <f>Table1[[#This Row],[Quantity]]*Table1[[#This Row],[Negotiated_Price]]</f>
        <v>102095</v>
      </c>
      <c r="N252" s="3">
        <f>Table1[[#This Row],[Quantity]]*Table1[[#This Row],[Unit_Price]]</f>
        <v>115447.5</v>
      </c>
      <c r="O252" s="3">
        <f>Table1[[#This Row],[ Original_Spend ]]-Table1[[#This Row],[ Total_Spend ]]</f>
        <v>13352.5</v>
      </c>
      <c r="P252" s="2">
        <f t="shared" si="16"/>
        <v>0.11565863271183871</v>
      </c>
      <c r="Q252" s="2">
        <f t="shared" si="17"/>
        <v>2.8571428571428571E-2</v>
      </c>
      <c r="R252" t="str">
        <f t="shared" si="18"/>
        <v>Partially Delivered</v>
      </c>
      <c r="S252" t="str">
        <f t="shared" si="19"/>
        <v>Status-Date Conflict</v>
      </c>
    </row>
    <row r="253" spans="1:19" x14ac:dyDescent="0.25">
      <c r="A253" t="s">
        <v>278</v>
      </c>
      <c r="B253" t="s">
        <v>17</v>
      </c>
      <c r="C253" s="1">
        <v>44810</v>
      </c>
      <c r="D253" s="1">
        <v>44828</v>
      </c>
      <c r="E253" t="s">
        <v>13</v>
      </c>
      <c r="F253" t="s">
        <v>33</v>
      </c>
      <c r="G253">
        <v>1298</v>
      </c>
      <c r="H253" s="3">
        <v>43.73</v>
      </c>
      <c r="I253" s="3">
        <v>37.21</v>
      </c>
      <c r="K253" t="s">
        <v>27</v>
      </c>
      <c r="L253">
        <f t="shared" si="15"/>
        <v>18</v>
      </c>
      <c r="M253" s="3">
        <f>Table1[[#This Row],[Quantity]]*Table1[[#This Row],[Negotiated_Price]]</f>
        <v>48298.58</v>
      </c>
      <c r="N253" s="3">
        <f>Table1[[#This Row],[Quantity]]*Table1[[#This Row],[Unit_Price]]</f>
        <v>56761.539999999994</v>
      </c>
      <c r="O253" s="3">
        <f>Table1[[#This Row],[ Original_Spend ]]-Table1[[#This Row],[ Total_Spend ]]</f>
        <v>8462.9599999999919</v>
      </c>
      <c r="P253" s="2">
        <f t="shared" si="16"/>
        <v>0.14909672993368384</v>
      </c>
      <c r="Q253" s="2">
        <f t="shared" si="17"/>
        <v>0</v>
      </c>
      <c r="R253" t="str">
        <f t="shared" si="18"/>
        <v>Partially Delivered</v>
      </c>
      <c r="S253" t="str">
        <f t="shared" si="19"/>
        <v>Status-Date Conflict</v>
      </c>
    </row>
    <row r="254" spans="1:19" x14ac:dyDescent="0.25">
      <c r="A254" t="s">
        <v>279</v>
      </c>
      <c r="B254" t="s">
        <v>20</v>
      </c>
      <c r="C254" s="1">
        <v>45046</v>
      </c>
      <c r="D254" s="1">
        <v>45066</v>
      </c>
      <c r="E254" t="s">
        <v>24</v>
      </c>
      <c r="F254" t="s">
        <v>18</v>
      </c>
      <c r="G254">
        <v>1892</v>
      </c>
      <c r="H254" s="3">
        <v>106.2</v>
      </c>
      <c r="I254" s="3">
        <v>96.37</v>
      </c>
      <c r="J254">
        <v>93</v>
      </c>
      <c r="K254" t="s">
        <v>15</v>
      </c>
      <c r="L254">
        <f t="shared" si="15"/>
        <v>20</v>
      </c>
      <c r="M254" s="3">
        <f>Table1[[#This Row],[Quantity]]*Table1[[#This Row],[Negotiated_Price]]</f>
        <v>182332.04</v>
      </c>
      <c r="N254" s="3">
        <f>Table1[[#This Row],[Quantity]]*Table1[[#This Row],[Unit_Price]]</f>
        <v>200930.4</v>
      </c>
      <c r="O254" s="3">
        <f>Table1[[#This Row],[ Original_Spend ]]-Table1[[#This Row],[ Total_Spend ]]</f>
        <v>18598.359999999986</v>
      </c>
      <c r="P254" s="2">
        <f t="shared" si="16"/>
        <v>9.2561205273069616E-2</v>
      </c>
      <c r="Q254" s="2">
        <f t="shared" si="17"/>
        <v>4.915433403805497E-2</v>
      </c>
      <c r="R254" t="str">
        <f t="shared" si="18"/>
        <v>Late</v>
      </c>
      <c r="S254" t="str">
        <f t="shared" si="19"/>
        <v>OK</v>
      </c>
    </row>
    <row r="255" spans="1:19" x14ac:dyDescent="0.25">
      <c r="A255" t="s">
        <v>280</v>
      </c>
      <c r="B255" t="s">
        <v>23</v>
      </c>
      <c r="C255" s="1">
        <v>44978</v>
      </c>
      <c r="D255" s="1">
        <v>44981</v>
      </c>
      <c r="E255" t="s">
        <v>39</v>
      </c>
      <c r="F255" t="s">
        <v>18</v>
      </c>
      <c r="G255">
        <v>1307</v>
      </c>
      <c r="H255" s="3">
        <v>68.709999999999994</v>
      </c>
      <c r="I255" s="3">
        <v>60.64</v>
      </c>
      <c r="J255">
        <v>141</v>
      </c>
      <c r="K255" t="s">
        <v>15</v>
      </c>
      <c r="L255">
        <f t="shared" si="15"/>
        <v>3</v>
      </c>
      <c r="M255" s="3">
        <f>Table1[[#This Row],[Quantity]]*Table1[[#This Row],[Negotiated_Price]]</f>
        <v>79256.479999999996</v>
      </c>
      <c r="N255" s="3">
        <f>Table1[[#This Row],[Quantity]]*Table1[[#This Row],[Unit_Price]]</f>
        <v>89803.969999999987</v>
      </c>
      <c r="O255" s="3">
        <f>Table1[[#This Row],[ Original_Spend ]]-Table1[[#This Row],[ Total_Spend ]]</f>
        <v>10547.489999999991</v>
      </c>
      <c r="P255" s="2">
        <f t="shared" si="16"/>
        <v>0.11745015281618387</v>
      </c>
      <c r="Q255" s="2">
        <f t="shared" si="17"/>
        <v>0.10788064269319052</v>
      </c>
      <c r="R255" t="str">
        <f t="shared" si="18"/>
        <v>On Time</v>
      </c>
      <c r="S255" t="str">
        <f t="shared" si="19"/>
        <v>OK</v>
      </c>
    </row>
    <row r="256" spans="1:19" x14ac:dyDescent="0.25">
      <c r="A256" t="s">
        <v>281</v>
      </c>
      <c r="B256" t="s">
        <v>23</v>
      </c>
      <c r="C256" s="1">
        <v>44756</v>
      </c>
      <c r="D256" s="1">
        <v>44771</v>
      </c>
      <c r="E256" t="s">
        <v>39</v>
      </c>
      <c r="F256" t="s">
        <v>18</v>
      </c>
      <c r="G256">
        <v>733</v>
      </c>
      <c r="H256" s="3">
        <v>32.29</v>
      </c>
      <c r="I256" s="3">
        <v>29.01</v>
      </c>
      <c r="J256">
        <v>78</v>
      </c>
      <c r="K256" t="s">
        <v>15</v>
      </c>
      <c r="L256">
        <f t="shared" si="15"/>
        <v>15</v>
      </c>
      <c r="M256" s="3">
        <f>Table1[[#This Row],[Quantity]]*Table1[[#This Row],[Negotiated_Price]]</f>
        <v>21264.33</v>
      </c>
      <c r="N256" s="3">
        <f>Table1[[#This Row],[Quantity]]*Table1[[#This Row],[Unit_Price]]</f>
        <v>23668.57</v>
      </c>
      <c r="O256" s="3">
        <f>Table1[[#This Row],[ Original_Spend ]]-Table1[[#This Row],[ Total_Spend ]]</f>
        <v>2404.239999999998</v>
      </c>
      <c r="P256" s="2">
        <f t="shared" si="16"/>
        <v>0.1015794363580055</v>
      </c>
      <c r="Q256" s="2">
        <f t="shared" si="17"/>
        <v>0.10641200545702592</v>
      </c>
      <c r="R256" t="str">
        <f t="shared" si="18"/>
        <v>Late</v>
      </c>
      <c r="S256" t="str">
        <f t="shared" si="19"/>
        <v>OK</v>
      </c>
    </row>
    <row r="257" spans="1:19" x14ac:dyDescent="0.25">
      <c r="A257" t="s">
        <v>282</v>
      </c>
      <c r="B257" t="s">
        <v>20</v>
      </c>
      <c r="C257" s="1">
        <v>44658</v>
      </c>
      <c r="E257" t="s">
        <v>24</v>
      </c>
      <c r="F257" t="s">
        <v>18</v>
      </c>
      <c r="G257">
        <v>713</v>
      </c>
      <c r="H257" s="3">
        <v>19.45</v>
      </c>
      <c r="I257" s="3">
        <v>18.82</v>
      </c>
      <c r="J257">
        <v>31</v>
      </c>
      <c r="K257" t="s">
        <v>15</v>
      </c>
      <c r="L257" t="str">
        <f t="shared" si="15"/>
        <v/>
      </c>
      <c r="M257" s="3">
        <f>Table1[[#This Row],[Quantity]]*Table1[[#This Row],[Negotiated_Price]]</f>
        <v>13418.66</v>
      </c>
      <c r="N257" s="3">
        <f>Table1[[#This Row],[Quantity]]*Table1[[#This Row],[Unit_Price]]</f>
        <v>13867.85</v>
      </c>
      <c r="O257" s="3">
        <f>Table1[[#This Row],[ Original_Spend ]]-Table1[[#This Row],[ Total_Spend ]]</f>
        <v>449.19000000000051</v>
      </c>
      <c r="P257" s="2">
        <f t="shared" si="16"/>
        <v>3.239074550128538E-2</v>
      </c>
      <c r="Q257" s="2">
        <f t="shared" si="17"/>
        <v>4.3478260869565216E-2</v>
      </c>
      <c r="R257" t="str">
        <f t="shared" si="18"/>
        <v>Missing Delivery Date</v>
      </c>
      <c r="S257" t="str">
        <f t="shared" si="19"/>
        <v>Missing Delivery Date</v>
      </c>
    </row>
    <row r="258" spans="1:19" x14ac:dyDescent="0.25">
      <c r="A258" t="s">
        <v>283</v>
      </c>
      <c r="B258" t="s">
        <v>23</v>
      </c>
      <c r="C258" s="1">
        <v>44661</v>
      </c>
      <c r="D258" s="1">
        <v>44675</v>
      </c>
      <c r="E258" t="s">
        <v>24</v>
      </c>
      <c r="F258" t="s">
        <v>18</v>
      </c>
      <c r="G258">
        <v>1900</v>
      </c>
      <c r="H258" s="3">
        <v>24.11</v>
      </c>
      <c r="I258" s="3">
        <v>23.45</v>
      </c>
      <c r="J258">
        <v>188</v>
      </c>
      <c r="K258" t="s">
        <v>15</v>
      </c>
      <c r="L258">
        <f t="shared" ref="L258:L321" si="20">IF(OR(C258="",D258=""),"",D258-C258)</f>
        <v>14</v>
      </c>
      <c r="M258" s="3">
        <f>Table1[[#This Row],[Quantity]]*Table1[[#This Row],[Negotiated_Price]]</f>
        <v>44555</v>
      </c>
      <c r="N258" s="3">
        <f>Table1[[#This Row],[Quantity]]*Table1[[#This Row],[Unit_Price]]</f>
        <v>45809</v>
      </c>
      <c r="O258" s="3">
        <f>Table1[[#This Row],[ Original_Spend ]]-Table1[[#This Row],[ Total_Spend ]]</f>
        <v>1254</v>
      </c>
      <c r="P258" s="2">
        <f t="shared" ref="P258:P321" si="21">IFERROR(O258/N258,0)</f>
        <v>2.7374533388635422E-2</v>
      </c>
      <c r="Q258" s="2">
        <f t="shared" ref="Q258:Q321" si="22">IFERROR(J258/G258,0)</f>
        <v>9.8947368421052631E-2</v>
      </c>
      <c r="R258" t="str">
        <f t="shared" si="18"/>
        <v>Late</v>
      </c>
      <c r="S258" t="str">
        <f t="shared" si="19"/>
        <v>OK</v>
      </c>
    </row>
    <row r="259" spans="1:19" x14ac:dyDescent="0.25">
      <c r="A259" t="s">
        <v>284</v>
      </c>
      <c r="B259" t="s">
        <v>17</v>
      </c>
      <c r="C259" s="1">
        <v>45236</v>
      </c>
      <c r="D259" s="1">
        <v>45238</v>
      </c>
      <c r="E259" t="s">
        <v>21</v>
      </c>
      <c r="F259" t="s">
        <v>14</v>
      </c>
      <c r="G259">
        <v>1447</v>
      </c>
      <c r="H259" s="3">
        <v>35.67</v>
      </c>
      <c r="I259" s="3">
        <v>35.07</v>
      </c>
      <c r="J259">
        <v>224</v>
      </c>
      <c r="K259" t="s">
        <v>27</v>
      </c>
      <c r="L259">
        <f t="shared" si="20"/>
        <v>2</v>
      </c>
      <c r="M259" s="3">
        <f>Table1[[#This Row],[Quantity]]*Table1[[#This Row],[Negotiated_Price]]</f>
        <v>50746.29</v>
      </c>
      <c r="N259" s="3">
        <f>Table1[[#This Row],[Quantity]]*Table1[[#This Row],[Unit_Price]]</f>
        <v>51614.490000000005</v>
      </c>
      <c r="O259" s="3">
        <f>Table1[[#This Row],[ Original_Spend ]]-Table1[[#This Row],[ Total_Spend ]]</f>
        <v>868.20000000000437</v>
      </c>
      <c r="P259" s="2">
        <f t="shared" si="21"/>
        <v>1.6820857863751135E-2</v>
      </c>
      <c r="Q259" s="2">
        <f t="shared" si="22"/>
        <v>0.15480304077401522</v>
      </c>
      <c r="R259" t="str">
        <f t="shared" ref="R259:R322" si="23">IF(F259&lt;&gt;"Delivered",F259,IF(D259="","Missing Delivery Date",IF(L259&lt;=10,"On Time","Late")))</f>
        <v>Cancelled</v>
      </c>
      <c r="S259" t="str">
        <f t="shared" ref="S259:S322" si="24">IF(AND(F259&lt;&gt;"Delivered",D259&lt;&gt;""),"Status-Date Conflict",IF(AND(F259="Delivered",D259=""),"Missing Delivery Date","OK"))</f>
        <v>Status-Date Conflict</v>
      </c>
    </row>
    <row r="260" spans="1:19" x14ac:dyDescent="0.25">
      <c r="A260" t="s">
        <v>285</v>
      </c>
      <c r="B260" t="s">
        <v>29</v>
      </c>
      <c r="C260" s="1">
        <v>45003</v>
      </c>
      <c r="E260" t="s">
        <v>13</v>
      </c>
      <c r="F260" t="s">
        <v>18</v>
      </c>
      <c r="G260">
        <v>1745</v>
      </c>
      <c r="H260" s="3">
        <v>26.17</v>
      </c>
      <c r="I260" s="3">
        <v>22.25</v>
      </c>
      <c r="J260">
        <v>55</v>
      </c>
      <c r="K260" t="s">
        <v>15</v>
      </c>
      <c r="L260" t="str">
        <f t="shared" si="20"/>
        <v/>
      </c>
      <c r="M260" s="3">
        <f>Table1[[#This Row],[Quantity]]*Table1[[#This Row],[Negotiated_Price]]</f>
        <v>38826.25</v>
      </c>
      <c r="N260" s="3">
        <f>Table1[[#This Row],[Quantity]]*Table1[[#This Row],[Unit_Price]]</f>
        <v>45666.65</v>
      </c>
      <c r="O260" s="3">
        <f>Table1[[#This Row],[ Original_Spend ]]-Table1[[#This Row],[ Total_Spend ]]</f>
        <v>6840.4000000000015</v>
      </c>
      <c r="P260" s="2">
        <f t="shared" si="21"/>
        <v>0.14978983568972107</v>
      </c>
      <c r="Q260" s="2">
        <f t="shared" si="22"/>
        <v>3.151862464183381E-2</v>
      </c>
      <c r="R260" t="str">
        <f t="shared" si="23"/>
        <v>Missing Delivery Date</v>
      </c>
      <c r="S260" t="str">
        <f t="shared" si="24"/>
        <v>Missing Delivery Date</v>
      </c>
    </row>
    <row r="261" spans="1:19" x14ac:dyDescent="0.25">
      <c r="A261" t="s">
        <v>286</v>
      </c>
      <c r="B261" t="s">
        <v>23</v>
      </c>
      <c r="C261" s="1">
        <v>44924</v>
      </c>
      <c r="D261" s="1">
        <v>44940</v>
      </c>
      <c r="E261" t="s">
        <v>13</v>
      </c>
      <c r="F261" t="s">
        <v>18</v>
      </c>
      <c r="G261">
        <v>1681</v>
      </c>
      <c r="H261" s="3">
        <v>28.26</v>
      </c>
      <c r="I261" s="3">
        <v>26.62</v>
      </c>
      <c r="J261">
        <v>143</v>
      </c>
      <c r="K261" t="s">
        <v>15</v>
      </c>
      <c r="L261">
        <f t="shared" si="20"/>
        <v>16</v>
      </c>
      <c r="M261" s="3">
        <f>Table1[[#This Row],[Quantity]]*Table1[[#This Row],[Negotiated_Price]]</f>
        <v>44748.22</v>
      </c>
      <c r="N261" s="3">
        <f>Table1[[#This Row],[Quantity]]*Table1[[#This Row],[Unit_Price]]</f>
        <v>47505.060000000005</v>
      </c>
      <c r="O261" s="3">
        <f>Table1[[#This Row],[ Original_Spend ]]-Table1[[#This Row],[ Total_Spend ]]</f>
        <v>2756.8400000000038</v>
      </c>
      <c r="P261" s="2">
        <f t="shared" si="21"/>
        <v>5.8032554847841547E-2</v>
      </c>
      <c r="Q261" s="2">
        <f t="shared" si="22"/>
        <v>8.5068411659726353E-2</v>
      </c>
      <c r="R261" t="str">
        <f t="shared" si="23"/>
        <v>Late</v>
      </c>
      <c r="S261" t="str">
        <f t="shared" si="24"/>
        <v>OK</v>
      </c>
    </row>
    <row r="262" spans="1:19" x14ac:dyDescent="0.25">
      <c r="A262" t="s">
        <v>287</v>
      </c>
      <c r="B262" t="s">
        <v>17</v>
      </c>
      <c r="C262" s="1">
        <v>44995</v>
      </c>
      <c r="D262" s="1">
        <v>45003</v>
      </c>
      <c r="E262" t="s">
        <v>39</v>
      </c>
      <c r="F262" t="s">
        <v>18</v>
      </c>
      <c r="G262">
        <v>1545</v>
      </c>
      <c r="H262" s="3">
        <v>38.15</v>
      </c>
      <c r="I262" s="3">
        <v>36.96</v>
      </c>
      <c r="J262">
        <v>214</v>
      </c>
      <c r="K262" t="s">
        <v>15</v>
      </c>
      <c r="L262">
        <f t="shared" si="20"/>
        <v>8</v>
      </c>
      <c r="M262" s="3">
        <f>Table1[[#This Row],[Quantity]]*Table1[[#This Row],[Negotiated_Price]]</f>
        <v>57103.200000000004</v>
      </c>
      <c r="N262" s="3">
        <f>Table1[[#This Row],[Quantity]]*Table1[[#This Row],[Unit_Price]]</f>
        <v>58941.75</v>
      </c>
      <c r="O262" s="3">
        <f>Table1[[#This Row],[ Original_Spend ]]-Table1[[#This Row],[ Total_Spend ]]</f>
        <v>1838.5499999999956</v>
      </c>
      <c r="P262" s="2">
        <f t="shared" si="21"/>
        <v>3.1192660550458641E-2</v>
      </c>
      <c r="Q262" s="2">
        <f t="shared" si="22"/>
        <v>0.13851132686084142</v>
      </c>
      <c r="R262" t="str">
        <f t="shared" si="23"/>
        <v>On Time</v>
      </c>
      <c r="S262" t="str">
        <f t="shared" si="24"/>
        <v>OK</v>
      </c>
    </row>
    <row r="263" spans="1:19" x14ac:dyDescent="0.25">
      <c r="A263" t="s">
        <v>288</v>
      </c>
      <c r="B263" t="s">
        <v>29</v>
      </c>
      <c r="C263" s="1">
        <v>44982</v>
      </c>
      <c r="D263" s="1">
        <v>44987</v>
      </c>
      <c r="E263" t="s">
        <v>26</v>
      </c>
      <c r="F263" t="s">
        <v>18</v>
      </c>
      <c r="G263">
        <v>1306</v>
      </c>
      <c r="H263" s="3">
        <v>27.27</v>
      </c>
      <c r="I263" s="3">
        <v>25.96</v>
      </c>
      <c r="J263">
        <v>39</v>
      </c>
      <c r="K263" t="s">
        <v>15</v>
      </c>
      <c r="L263">
        <f t="shared" si="20"/>
        <v>5</v>
      </c>
      <c r="M263" s="3">
        <f>Table1[[#This Row],[Quantity]]*Table1[[#This Row],[Negotiated_Price]]</f>
        <v>33903.760000000002</v>
      </c>
      <c r="N263" s="3">
        <f>Table1[[#This Row],[Quantity]]*Table1[[#This Row],[Unit_Price]]</f>
        <v>35614.620000000003</v>
      </c>
      <c r="O263" s="3">
        <f>Table1[[#This Row],[ Original_Spend ]]-Table1[[#This Row],[ Total_Spend ]]</f>
        <v>1710.8600000000006</v>
      </c>
      <c r="P263" s="2">
        <f t="shared" si="21"/>
        <v>4.8038137147048049E-2</v>
      </c>
      <c r="Q263" s="2">
        <f t="shared" si="22"/>
        <v>2.9862174578866769E-2</v>
      </c>
      <c r="R263" t="str">
        <f t="shared" si="23"/>
        <v>On Time</v>
      </c>
      <c r="S263" t="str">
        <f t="shared" si="24"/>
        <v>OK</v>
      </c>
    </row>
    <row r="264" spans="1:19" x14ac:dyDescent="0.25">
      <c r="A264" t="s">
        <v>289</v>
      </c>
      <c r="B264" t="s">
        <v>20</v>
      </c>
      <c r="C264" s="1">
        <v>45040</v>
      </c>
      <c r="D264" s="1">
        <v>45052</v>
      </c>
      <c r="E264" t="s">
        <v>26</v>
      </c>
      <c r="F264" t="s">
        <v>18</v>
      </c>
      <c r="G264">
        <v>1765</v>
      </c>
      <c r="H264" s="3">
        <v>97.51</v>
      </c>
      <c r="I264" s="3">
        <v>84.3</v>
      </c>
      <c r="J264">
        <v>65</v>
      </c>
      <c r="K264" t="s">
        <v>15</v>
      </c>
      <c r="L264">
        <f t="shared" si="20"/>
        <v>12</v>
      </c>
      <c r="M264" s="3">
        <f>Table1[[#This Row],[Quantity]]*Table1[[#This Row],[Negotiated_Price]]</f>
        <v>148789.5</v>
      </c>
      <c r="N264" s="3">
        <f>Table1[[#This Row],[Quantity]]*Table1[[#This Row],[Unit_Price]]</f>
        <v>172105.15000000002</v>
      </c>
      <c r="O264" s="3">
        <f>Table1[[#This Row],[ Original_Spend ]]-Table1[[#This Row],[ Total_Spend ]]</f>
        <v>23315.650000000023</v>
      </c>
      <c r="P264" s="2">
        <f t="shared" si="21"/>
        <v>0.13547328479130358</v>
      </c>
      <c r="Q264" s="2">
        <f t="shared" si="22"/>
        <v>3.6827195467422094E-2</v>
      </c>
      <c r="R264" t="str">
        <f t="shared" si="23"/>
        <v>Late</v>
      </c>
      <c r="S264" t="str">
        <f t="shared" si="24"/>
        <v>OK</v>
      </c>
    </row>
    <row r="265" spans="1:19" x14ac:dyDescent="0.25">
      <c r="A265" t="s">
        <v>290</v>
      </c>
      <c r="B265" t="s">
        <v>20</v>
      </c>
      <c r="C265" s="1">
        <v>44617</v>
      </c>
      <c r="D265" s="1">
        <v>44635</v>
      </c>
      <c r="E265" t="s">
        <v>24</v>
      </c>
      <c r="F265" t="s">
        <v>14</v>
      </c>
      <c r="G265">
        <v>1186</v>
      </c>
      <c r="H265" s="3">
        <v>17.309999999999999</v>
      </c>
      <c r="I265" s="3">
        <v>16</v>
      </c>
      <c r="J265">
        <v>64</v>
      </c>
      <c r="K265" t="s">
        <v>15</v>
      </c>
      <c r="L265">
        <f t="shared" si="20"/>
        <v>18</v>
      </c>
      <c r="M265" s="3">
        <f>Table1[[#This Row],[Quantity]]*Table1[[#This Row],[Negotiated_Price]]</f>
        <v>18976</v>
      </c>
      <c r="N265" s="3">
        <f>Table1[[#This Row],[Quantity]]*Table1[[#This Row],[Unit_Price]]</f>
        <v>20529.66</v>
      </c>
      <c r="O265" s="3">
        <f>Table1[[#This Row],[ Original_Spend ]]-Table1[[#This Row],[ Total_Spend ]]</f>
        <v>1553.6599999999999</v>
      </c>
      <c r="P265" s="2">
        <f t="shared" si="21"/>
        <v>7.5678798382437892E-2</v>
      </c>
      <c r="Q265" s="2">
        <f t="shared" si="22"/>
        <v>5.3962900505902189E-2</v>
      </c>
      <c r="R265" t="str">
        <f t="shared" si="23"/>
        <v>Cancelled</v>
      </c>
      <c r="S265" t="str">
        <f t="shared" si="24"/>
        <v>Status-Date Conflict</v>
      </c>
    </row>
    <row r="266" spans="1:19" x14ac:dyDescent="0.25">
      <c r="A266" t="s">
        <v>291</v>
      </c>
      <c r="B266" t="s">
        <v>17</v>
      </c>
      <c r="C266" s="1">
        <v>45251</v>
      </c>
      <c r="D266" s="1">
        <v>45256</v>
      </c>
      <c r="E266" t="s">
        <v>24</v>
      </c>
      <c r="F266" t="s">
        <v>18</v>
      </c>
      <c r="G266">
        <v>1903</v>
      </c>
      <c r="H266" s="3">
        <v>63.5</v>
      </c>
      <c r="I266" s="3">
        <v>56.09</v>
      </c>
      <c r="J266">
        <v>254</v>
      </c>
      <c r="K266" t="s">
        <v>15</v>
      </c>
      <c r="L266">
        <f t="shared" si="20"/>
        <v>5</v>
      </c>
      <c r="M266" s="3">
        <f>Table1[[#This Row],[Quantity]]*Table1[[#This Row],[Negotiated_Price]]</f>
        <v>106739.27</v>
      </c>
      <c r="N266" s="3">
        <f>Table1[[#This Row],[Quantity]]*Table1[[#This Row],[Unit_Price]]</f>
        <v>120840.5</v>
      </c>
      <c r="O266" s="3">
        <f>Table1[[#This Row],[ Original_Spend ]]-Table1[[#This Row],[ Total_Spend ]]</f>
        <v>14101.229999999996</v>
      </c>
      <c r="P266" s="2">
        <f t="shared" si="21"/>
        <v>0.11669291338582674</v>
      </c>
      <c r="Q266" s="2">
        <f t="shared" si="22"/>
        <v>0.13347346295323173</v>
      </c>
      <c r="R266" t="str">
        <f t="shared" si="23"/>
        <v>On Time</v>
      </c>
      <c r="S266" t="str">
        <f t="shared" si="24"/>
        <v>OK</v>
      </c>
    </row>
    <row r="267" spans="1:19" x14ac:dyDescent="0.25">
      <c r="A267" t="s">
        <v>292</v>
      </c>
      <c r="B267" t="s">
        <v>17</v>
      </c>
      <c r="C267" s="1">
        <v>45231</v>
      </c>
      <c r="D267" s="1">
        <v>45235</v>
      </c>
      <c r="E267" t="s">
        <v>21</v>
      </c>
      <c r="F267" t="s">
        <v>18</v>
      </c>
      <c r="G267">
        <v>1570</v>
      </c>
      <c r="H267" s="3">
        <v>52.1</v>
      </c>
      <c r="I267" s="3">
        <v>47.87</v>
      </c>
      <c r="K267" t="s">
        <v>27</v>
      </c>
      <c r="L267">
        <f t="shared" si="20"/>
        <v>4</v>
      </c>
      <c r="M267" s="3">
        <f>Table1[[#This Row],[Quantity]]*Table1[[#This Row],[Negotiated_Price]]</f>
        <v>75155.899999999994</v>
      </c>
      <c r="N267" s="3">
        <f>Table1[[#This Row],[Quantity]]*Table1[[#This Row],[Unit_Price]]</f>
        <v>81797</v>
      </c>
      <c r="O267" s="3">
        <f>Table1[[#This Row],[ Original_Spend ]]-Table1[[#This Row],[ Total_Spend ]]</f>
        <v>6641.1000000000058</v>
      </c>
      <c r="P267" s="2">
        <f t="shared" si="21"/>
        <v>8.1190019193858043E-2</v>
      </c>
      <c r="Q267" s="2">
        <f t="shared" si="22"/>
        <v>0</v>
      </c>
      <c r="R267" t="str">
        <f t="shared" si="23"/>
        <v>On Time</v>
      </c>
      <c r="S267" t="str">
        <f t="shared" si="24"/>
        <v>OK</v>
      </c>
    </row>
    <row r="268" spans="1:19" x14ac:dyDescent="0.25">
      <c r="A268" t="s">
        <v>293</v>
      </c>
      <c r="B268" t="s">
        <v>17</v>
      </c>
      <c r="C268" s="1">
        <v>45223</v>
      </c>
      <c r="D268" s="1">
        <v>45243</v>
      </c>
      <c r="E268" t="s">
        <v>21</v>
      </c>
      <c r="F268" t="s">
        <v>18</v>
      </c>
      <c r="G268">
        <v>491</v>
      </c>
      <c r="H268" s="3">
        <v>108.75</v>
      </c>
      <c r="I268" s="3">
        <v>93.35</v>
      </c>
      <c r="K268" t="s">
        <v>27</v>
      </c>
      <c r="L268">
        <f t="shared" si="20"/>
        <v>20</v>
      </c>
      <c r="M268" s="3">
        <f>Table1[[#This Row],[Quantity]]*Table1[[#This Row],[Negotiated_Price]]</f>
        <v>45834.85</v>
      </c>
      <c r="N268" s="3">
        <f>Table1[[#This Row],[Quantity]]*Table1[[#This Row],[Unit_Price]]</f>
        <v>53396.25</v>
      </c>
      <c r="O268" s="3">
        <f>Table1[[#This Row],[ Original_Spend ]]-Table1[[#This Row],[ Total_Spend ]]</f>
        <v>7561.4000000000015</v>
      </c>
      <c r="P268" s="2">
        <f t="shared" si="21"/>
        <v>0.14160919540229888</v>
      </c>
      <c r="Q268" s="2">
        <f t="shared" si="22"/>
        <v>0</v>
      </c>
      <c r="R268" t="str">
        <f t="shared" si="23"/>
        <v>Late</v>
      </c>
      <c r="S268" t="str">
        <f t="shared" si="24"/>
        <v>OK</v>
      </c>
    </row>
    <row r="269" spans="1:19" x14ac:dyDescent="0.25">
      <c r="A269" t="s">
        <v>294</v>
      </c>
      <c r="B269" t="s">
        <v>23</v>
      </c>
      <c r="C269" s="1">
        <v>44662</v>
      </c>
      <c r="D269" s="1">
        <v>44671</v>
      </c>
      <c r="E269" t="s">
        <v>39</v>
      </c>
      <c r="F269" t="s">
        <v>33</v>
      </c>
      <c r="G269">
        <v>613</v>
      </c>
      <c r="H269" s="3">
        <v>20.38</v>
      </c>
      <c r="I269" s="3">
        <v>20.170000000000002</v>
      </c>
      <c r="J269">
        <v>58</v>
      </c>
      <c r="K269" t="s">
        <v>15</v>
      </c>
      <c r="L269">
        <f t="shared" si="20"/>
        <v>9</v>
      </c>
      <c r="M269" s="3">
        <f>Table1[[#This Row],[Quantity]]*Table1[[#This Row],[Negotiated_Price]]</f>
        <v>12364.210000000001</v>
      </c>
      <c r="N269" s="3">
        <f>Table1[[#This Row],[Quantity]]*Table1[[#This Row],[Unit_Price]]</f>
        <v>12492.939999999999</v>
      </c>
      <c r="O269" s="3">
        <f>Table1[[#This Row],[ Original_Spend ]]-Table1[[#This Row],[ Total_Spend ]]</f>
        <v>128.72999999999774</v>
      </c>
      <c r="P269" s="2">
        <f t="shared" si="21"/>
        <v>1.0304219823356052E-2</v>
      </c>
      <c r="Q269" s="2">
        <f t="shared" si="22"/>
        <v>9.461663947797716E-2</v>
      </c>
      <c r="R269" t="str">
        <f t="shared" si="23"/>
        <v>Partially Delivered</v>
      </c>
      <c r="S269" t="str">
        <f t="shared" si="24"/>
        <v>Status-Date Conflict</v>
      </c>
    </row>
    <row r="270" spans="1:19" x14ac:dyDescent="0.25">
      <c r="A270" t="s">
        <v>295</v>
      </c>
      <c r="B270" t="s">
        <v>20</v>
      </c>
      <c r="C270" s="1">
        <v>44624</v>
      </c>
      <c r="D270" s="1">
        <v>44636</v>
      </c>
      <c r="E270" t="s">
        <v>26</v>
      </c>
      <c r="F270" t="s">
        <v>33</v>
      </c>
      <c r="G270">
        <v>1341</v>
      </c>
      <c r="H270" s="3">
        <v>46.27</v>
      </c>
      <c r="I270" s="3">
        <v>43.94</v>
      </c>
      <c r="J270">
        <v>63</v>
      </c>
      <c r="K270" t="s">
        <v>15</v>
      </c>
      <c r="L270">
        <f t="shared" si="20"/>
        <v>12</v>
      </c>
      <c r="M270" s="3">
        <f>Table1[[#This Row],[Quantity]]*Table1[[#This Row],[Negotiated_Price]]</f>
        <v>58923.539999999994</v>
      </c>
      <c r="N270" s="3">
        <f>Table1[[#This Row],[Quantity]]*Table1[[#This Row],[Unit_Price]]</f>
        <v>62048.070000000007</v>
      </c>
      <c r="O270" s="3">
        <f>Table1[[#This Row],[ Original_Spend ]]-Table1[[#This Row],[ Total_Spend ]]</f>
        <v>3124.5300000000134</v>
      </c>
      <c r="P270" s="2">
        <f t="shared" si="21"/>
        <v>5.035660255024875E-2</v>
      </c>
      <c r="Q270" s="2">
        <f t="shared" si="22"/>
        <v>4.6979865771812082E-2</v>
      </c>
      <c r="R270" t="str">
        <f t="shared" si="23"/>
        <v>Partially Delivered</v>
      </c>
      <c r="S270" t="str">
        <f t="shared" si="24"/>
        <v>Status-Date Conflict</v>
      </c>
    </row>
    <row r="271" spans="1:19" x14ac:dyDescent="0.25">
      <c r="A271" t="s">
        <v>296</v>
      </c>
      <c r="B271" t="s">
        <v>23</v>
      </c>
      <c r="C271" s="1">
        <v>44974</v>
      </c>
      <c r="D271" s="1">
        <v>44989</v>
      </c>
      <c r="E271" t="s">
        <v>21</v>
      </c>
      <c r="F271" t="s">
        <v>33</v>
      </c>
      <c r="G271">
        <v>1583</v>
      </c>
      <c r="H271" s="3">
        <v>103.57</v>
      </c>
      <c r="I271" s="3">
        <v>89.38</v>
      </c>
      <c r="J271">
        <v>164</v>
      </c>
      <c r="K271" t="s">
        <v>15</v>
      </c>
      <c r="L271">
        <f t="shared" si="20"/>
        <v>15</v>
      </c>
      <c r="M271" s="3">
        <f>Table1[[#This Row],[Quantity]]*Table1[[#This Row],[Negotiated_Price]]</f>
        <v>141488.53999999998</v>
      </c>
      <c r="N271" s="3">
        <f>Table1[[#This Row],[Quantity]]*Table1[[#This Row],[Unit_Price]]</f>
        <v>163951.31</v>
      </c>
      <c r="O271" s="3">
        <f>Table1[[#This Row],[ Original_Spend ]]-Table1[[#This Row],[ Total_Spend ]]</f>
        <v>22462.770000000019</v>
      </c>
      <c r="P271" s="2">
        <f t="shared" si="21"/>
        <v>0.13700878632808741</v>
      </c>
      <c r="Q271" s="2">
        <f t="shared" si="22"/>
        <v>0.10360075805432722</v>
      </c>
      <c r="R271" t="str">
        <f t="shared" si="23"/>
        <v>Partially Delivered</v>
      </c>
      <c r="S271" t="str">
        <f t="shared" si="24"/>
        <v>Status-Date Conflict</v>
      </c>
    </row>
    <row r="272" spans="1:19" x14ac:dyDescent="0.25">
      <c r="A272" t="s">
        <v>297</v>
      </c>
      <c r="B272" t="s">
        <v>23</v>
      </c>
      <c r="C272" s="1">
        <v>44909</v>
      </c>
      <c r="E272" t="s">
        <v>26</v>
      </c>
      <c r="F272" t="s">
        <v>14</v>
      </c>
      <c r="G272">
        <v>1880</v>
      </c>
      <c r="H272" s="3">
        <v>92.73</v>
      </c>
      <c r="I272" s="3">
        <v>90.78</v>
      </c>
      <c r="J272">
        <v>173</v>
      </c>
      <c r="K272" t="s">
        <v>15</v>
      </c>
      <c r="L272" t="str">
        <f t="shared" si="20"/>
        <v/>
      </c>
      <c r="M272" s="3">
        <f>Table1[[#This Row],[Quantity]]*Table1[[#This Row],[Negotiated_Price]]</f>
        <v>170666.4</v>
      </c>
      <c r="N272" s="3">
        <f>Table1[[#This Row],[Quantity]]*Table1[[#This Row],[Unit_Price]]</f>
        <v>174332.4</v>
      </c>
      <c r="O272" s="3">
        <f>Table1[[#This Row],[ Original_Spend ]]-Table1[[#This Row],[ Total_Spend ]]</f>
        <v>3666</v>
      </c>
      <c r="P272" s="2">
        <f t="shared" si="21"/>
        <v>2.1028793270786154E-2</v>
      </c>
      <c r="Q272" s="2">
        <f t="shared" si="22"/>
        <v>9.2021276595744675E-2</v>
      </c>
      <c r="R272" t="str">
        <f t="shared" si="23"/>
        <v>Cancelled</v>
      </c>
      <c r="S272" t="str">
        <f t="shared" si="24"/>
        <v>OK</v>
      </c>
    </row>
    <row r="273" spans="1:19" x14ac:dyDescent="0.25">
      <c r="A273" t="s">
        <v>298</v>
      </c>
      <c r="B273" t="s">
        <v>29</v>
      </c>
      <c r="C273" s="1">
        <v>44673</v>
      </c>
      <c r="D273" s="1">
        <v>44677</v>
      </c>
      <c r="E273" t="s">
        <v>21</v>
      </c>
      <c r="F273" t="s">
        <v>18</v>
      </c>
      <c r="G273">
        <v>1459</v>
      </c>
      <c r="H273" s="3">
        <v>84.79</v>
      </c>
      <c r="I273" s="3">
        <v>82.72</v>
      </c>
      <c r="J273">
        <v>47</v>
      </c>
      <c r="K273" t="s">
        <v>15</v>
      </c>
      <c r="L273">
        <f t="shared" si="20"/>
        <v>4</v>
      </c>
      <c r="M273" s="3">
        <f>Table1[[#This Row],[Quantity]]*Table1[[#This Row],[Negotiated_Price]]</f>
        <v>120688.48</v>
      </c>
      <c r="N273" s="3">
        <f>Table1[[#This Row],[Quantity]]*Table1[[#This Row],[Unit_Price]]</f>
        <v>123708.61000000002</v>
      </c>
      <c r="O273" s="3">
        <f>Table1[[#This Row],[ Original_Spend ]]-Table1[[#This Row],[ Total_Spend ]]</f>
        <v>3020.1300000000192</v>
      </c>
      <c r="P273" s="2">
        <f t="shared" si="21"/>
        <v>2.4413256280221878E-2</v>
      </c>
      <c r="Q273" s="2">
        <f t="shared" si="22"/>
        <v>3.2213845099383139E-2</v>
      </c>
      <c r="R273" t="str">
        <f t="shared" si="23"/>
        <v>On Time</v>
      </c>
      <c r="S273" t="str">
        <f t="shared" si="24"/>
        <v>OK</v>
      </c>
    </row>
    <row r="274" spans="1:19" x14ac:dyDescent="0.25">
      <c r="A274" t="s">
        <v>299</v>
      </c>
      <c r="B274" t="s">
        <v>17</v>
      </c>
      <c r="C274" s="1">
        <v>44816</v>
      </c>
      <c r="E274" t="s">
        <v>13</v>
      </c>
      <c r="F274" t="s">
        <v>18</v>
      </c>
      <c r="G274">
        <v>1460</v>
      </c>
      <c r="H274" s="3">
        <v>34.54</v>
      </c>
      <c r="I274" s="3">
        <v>31.87</v>
      </c>
      <c r="J274">
        <v>208</v>
      </c>
      <c r="K274" t="s">
        <v>27</v>
      </c>
      <c r="L274" t="str">
        <f t="shared" si="20"/>
        <v/>
      </c>
      <c r="M274" s="3">
        <f>Table1[[#This Row],[Quantity]]*Table1[[#This Row],[Negotiated_Price]]</f>
        <v>46530.200000000004</v>
      </c>
      <c r="N274" s="3">
        <f>Table1[[#This Row],[Quantity]]*Table1[[#This Row],[Unit_Price]]</f>
        <v>50428.4</v>
      </c>
      <c r="O274" s="3">
        <f>Table1[[#This Row],[ Original_Spend ]]-Table1[[#This Row],[ Total_Spend ]]</f>
        <v>3898.1999999999971</v>
      </c>
      <c r="P274" s="2">
        <f t="shared" si="21"/>
        <v>7.7301679212507177E-2</v>
      </c>
      <c r="Q274" s="2">
        <f t="shared" si="22"/>
        <v>0.14246575342465753</v>
      </c>
      <c r="R274" t="str">
        <f t="shared" si="23"/>
        <v>Missing Delivery Date</v>
      </c>
      <c r="S274" t="str">
        <f t="shared" si="24"/>
        <v>Missing Delivery Date</v>
      </c>
    </row>
    <row r="275" spans="1:19" x14ac:dyDescent="0.25">
      <c r="A275" t="s">
        <v>300</v>
      </c>
      <c r="B275" t="s">
        <v>23</v>
      </c>
      <c r="C275" s="1">
        <v>44758</v>
      </c>
      <c r="D275" s="1">
        <v>44770</v>
      </c>
      <c r="E275" t="s">
        <v>24</v>
      </c>
      <c r="F275" t="s">
        <v>33</v>
      </c>
      <c r="G275">
        <v>1186</v>
      </c>
      <c r="H275" s="3">
        <v>26.14</v>
      </c>
      <c r="I275" s="3">
        <v>24.78</v>
      </c>
      <c r="J275">
        <v>112</v>
      </c>
      <c r="K275" t="s">
        <v>15</v>
      </c>
      <c r="L275">
        <f t="shared" si="20"/>
        <v>12</v>
      </c>
      <c r="M275" s="3">
        <f>Table1[[#This Row],[Quantity]]*Table1[[#This Row],[Negotiated_Price]]</f>
        <v>29389.08</v>
      </c>
      <c r="N275" s="3">
        <f>Table1[[#This Row],[Quantity]]*Table1[[#This Row],[Unit_Price]]</f>
        <v>31002.04</v>
      </c>
      <c r="O275" s="3">
        <f>Table1[[#This Row],[ Original_Spend ]]-Table1[[#This Row],[ Total_Spend ]]</f>
        <v>1612.9599999999991</v>
      </c>
      <c r="P275" s="2">
        <f t="shared" si="21"/>
        <v>5.2027543993879086E-2</v>
      </c>
      <c r="Q275" s="2">
        <f t="shared" si="22"/>
        <v>9.4435075885328831E-2</v>
      </c>
      <c r="R275" t="str">
        <f t="shared" si="23"/>
        <v>Partially Delivered</v>
      </c>
      <c r="S275" t="str">
        <f t="shared" si="24"/>
        <v>Status-Date Conflict</v>
      </c>
    </row>
    <row r="276" spans="1:19" x14ac:dyDescent="0.25">
      <c r="A276" t="s">
        <v>301</v>
      </c>
      <c r="B276" t="s">
        <v>29</v>
      </c>
      <c r="C276" s="1">
        <v>44756</v>
      </c>
      <c r="D276" s="1">
        <v>44765</v>
      </c>
      <c r="E276" t="s">
        <v>21</v>
      </c>
      <c r="F276" t="s">
        <v>35</v>
      </c>
      <c r="G276">
        <v>1686</v>
      </c>
      <c r="H276" s="3">
        <v>72.28</v>
      </c>
      <c r="I276" s="3">
        <v>65.209999999999994</v>
      </c>
      <c r="J276">
        <v>53</v>
      </c>
      <c r="K276" t="s">
        <v>15</v>
      </c>
      <c r="L276">
        <f t="shared" si="20"/>
        <v>9</v>
      </c>
      <c r="M276" s="3">
        <f>Table1[[#This Row],[Quantity]]*Table1[[#This Row],[Negotiated_Price]]</f>
        <v>109944.05999999998</v>
      </c>
      <c r="N276" s="3">
        <f>Table1[[#This Row],[Quantity]]*Table1[[#This Row],[Unit_Price]]</f>
        <v>121864.08</v>
      </c>
      <c r="O276" s="3">
        <f>Table1[[#This Row],[ Original_Spend ]]-Table1[[#This Row],[ Total_Spend ]]</f>
        <v>11920.020000000019</v>
      </c>
      <c r="P276" s="2">
        <f t="shared" si="21"/>
        <v>9.7814056447150119E-2</v>
      </c>
      <c r="Q276" s="2">
        <f t="shared" si="22"/>
        <v>3.1435349940688022E-2</v>
      </c>
      <c r="R276" t="str">
        <f t="shared" si="23"/>
        <v>Pending</v>
      </c>
      <c r="S276" t="str">
        <f t="shared" si="24"/>
        <v>Status-Date Conflict</v>
      </c>
    </row>
    <row r="277" spans="1:19" x14ac:dyDescent="0.25">
      <c r="A277" t="s">
        <v>302</v>
      </c>
      <c r="B277" t="s">
        <v>12</v>
      </c>
      <c r="C277" s="1">
        <v>45111</v>
      </c>
      <c r="D277" s="1">
        <v>45115</v>
      </c>
      <c r="E277" t="s">
        <v>21</v>
      </c>
      <c r="F277" t="s">
        <v>18</v>
      </c>
      <c r="G277">
        <v>1698</v>
      </c>
      <c r="H277" s="3">
        <v>102.07</v>
      </c>
      <c r="I277" s="3">
        <v>100.69</v>
      </c>
      <c r="J277">
        <v>28</v>
      </c>
      <c r="K277" t="s">
        <v>15</v>
      </c>
      <c r="L277">
        <f t="shared" si="20"/>
        <v>4</v>
      </c>
      <c r="M277" s="3">
        <f>Table1[[#This Row],[Quantity]]*Table1[[#This Row],[Negotiated_Price]]</f>
        <v>170971.62</v>
      </c>
      <c r="N277" s="3">
        <f>Table1[[#This Row],[Quantity]]*Table1[[#This Row],[Unit_Price]]</f>
        <v>173314.86</v>
      </c>
      <c r="O277" s="3">
        <f>Table1[[#This Row],[ Original_Spend ]]-Table1[[#This Row],[ Total_Spend ]]</f>
        <v>2343.2399999999907</v>
      </c>
      <c r="P277" s="2">
        <f t="shared" si="21"/>
        <v>1.3520133241892766E-2</v>
      </c>
      <c r="Q277" s="2">
        <f t="shared" si="22"/>
        <v>1.6489988221436984E-2</v>
      </c>
      <c r="R277" t="str">
        <f t="shared" si="23"/>
        <v>On Time</v>
      </c>
      <c r="S277" t="str">
        <f t="shared" si="24"/>
        <v>OK</v>
      </c>
    </row>
    <row r="278" spans="1:19" x14ac:dyDescent="0.25">
      <c r="A278" t="s">
        <v>303</v>
      </c>
      <c r="B278" t="s">
        <v>29</v>
      </c>
      <c r="C278" s="1">
        <v>45021</v>
      </c>
      <c r="E278" t="s">
        <v>39</v>
      </c>
      <c r="F278" t="s">
        <v>18</v>
      </c>
      <c r="G278">
        <v>1001</v>
      </c>
      <c r="H278" s="3">
        <v>64.62</v>
      </c>
      <c r="I278" s="3">
        <v>55.7</v>
      </c>
      <c r="J278">
        <v>32</v>
      </c>
      <c r="K278" t="s">
        <v>15</v>
      </c>
      <c r="L278" t="str">
        <f t="shared" si="20"/>
        <v/>
      </c>
      <c r="M278" s="3">
        <f>Table1[[#This Row],[Quantity]]*Table1[[#This Row],[Negotiated_Price]]</f>
        <v>55755.700000000004</v>
      </c>
      <c r="N278" s="3">
        <f>Table1[[#This Row],[Quantity]]*Table1[[#This Row],[Unit_Price]]</f>
        <v>64684.62</v>
      </c>
      <c r="O278" s="3">
        <f>Table1[[#This Row],[ Original_Spend ]]-Table1[[#This Row],[ Total_Spend ]]</f>
        <v>8928.9199999999983</v>
      </c>
      <c r="P278" s="2">
        <f t="shared" si="21"/>
        <v>0.13803775920767561</v>
      </c>
      <c r="Q278" s="2">
        <f t="shared" si="22"/>
        <v>3.1968031968031968E-2</v>
      </c>
      <c r="R278" t="str">
        <f t="shared" si="23"/>
        <v>Missing Delivery Date</v>
      </c>
      <c r="S278" t="str">
        <f t="shared" si="24"/>
        <v>Missing Delivery Date</v>
      </c>
    </row>
    <row r="279" spans="1:19" x14ac:dyDescent="0.25">
      <c r="A279" t="s">
        <v>304</v>
      </c>
      <c r="B279" t="s">
        <v>12</v>
      </c>
      <c r="C279" s="1">
        <v>44705</v>
      </c>
      <c r="D279" s="1">
        <v>44708</v>
      </c>
      <c r="E279" t="s">
        <v>13</v>
      </c>
      <c r="F279" t="s">
        <v>18</v>
      </c>
      <c r="G279">
        <v>1154</v>
      </c>
      <c r="H279" s="3">
        <v>62.67</v>
      </c>
      <c r="I279" s="3">
        <v>54.11</v>
      </c>
      <c r="J279">
        <v>25</v>
      </c>
      <c r="K279" t="s">
        <v>15</v>
      </c>
      <c r="L279">
        <f t="shared" si="20"/>
        <v>3</v>
      </c>
      <c r="M279" s="3">
        <f>Table1[[#This Row],[Quantity]]*Table1[[#This Row],[Negotiated_Price]]</f>
        <v>62442.94</v>
      </c>
      <c r="N279" s="3">
        <f>Table1[[#This Row],[Quantity]]*Table1[[#This Row],[Unit_Price]]</f>
        <v>72321.180000000008</v>
      </c>
      <c r="O279" s="3">
        <f>Table1[[#This Row],[ Original_Spend ]]-Table1[[#This Row],[ Total_Spend ]]</f>
        <v>9878.2400000000052</v>
      </c>
      <c r="P279" s="2">
        <f t="shared" si="21"/>
        <v>0.13658847933620558</v>
      </c>
      <c r="Q279" s="2">
        <f t="shared" si="22"/>
        <v>2.1663778162911613E-2</v>
      </c>
      <c r="R279" t="str">
        <f t="shared" si="23"/>
        <v>On Time</v>
      </c>
      <c r="S279" t="str">
        <f t="shared" si="24"/>
        <v>OK</v>
      </c>
    </row>
    <row r="280" spans="1:19" x14ac:dyDescent="0.25">
      <c r="A280" t="s">
        <v>305</v>
      </c>
      <c r="B280" t="s">
        <v>12</v>
      </c>
      <c r="C280" s="1">
        <v>44994</v>
      </c>
      <c r="D280" s="1">
        <v>45014</v>
      </c>
      <c r="E280" t="s">
        <v>24</v>
      </c>
      <c r="F280" t="s">
        <v>14</v>
      </c>
      <c r="G280">
        <v>748</v>
      </c>
      <c r="H280" s="3">
        <v>37.659999999999997</v>
      </c>
      <c r="I280" s="3">
        <v>32.71</v>
      </c>
      <c r="K280" t="s">
        <v>27</v>
      </c>
      <c r="L280">
        <f t="shared" si="20"/>
        <v>20</v>
      </c>
      <c r="M280" s="3">
        <f>Table1[[#This Row],[Quantity]]*Table1[[#This Row],[Negotiated_Price]]</f>
        <v>24467.08</v>
      </c>
      <c r="N280" s="3">
        <f>Table1[[#This Row],[Quantity]]*Table1[[#This Row],[Unit_Price]]</f>
        <v>28169.679999999997</v>
      </c>
      <c r="O280" s="3">
        <f>Table1[[#This Row],[ Original_Spend ]]-Table1[[#This Row],[ Total_Spend ]]</f>
        <v>3702.5999999999949</v>
      </c>
      <c r="P280" s="2">
        <f t="shared" si="21"/>
        <v>0.13143919277748259</v>
      </c>
      <c r="Q280" s="2">
        <f t="shared" si="22"/>
        <v>0</v>
      </c>
      <c r="R280" t="str">
        <f t="shared" si="23"/>
        <v>Cancelled</v>
      </c>
      <c r="S280" t="str">
        <f t="shared" si="24"/>
        <v>Status-Date Conflict</v>
      </c>
    </row>
    <row r="281" spans="1:19" x14ac:dyDescent="0.25">
      <c r="A281" t="s">
        <v>306</v>
      </c>
      <c r="B281" t="s">
        <v>12</v>
      </c>
      <c r="C281" s="1">
        <v>44749</v>
      </c>
      <c r="E281" t="s">
        <v>13</v>
      </c>
      <c r="F281" t="s">
        <v>18</v>
      </c>
      <c r="G281">
        <v>162</v>
      </c>
      <c r="H281" s="3">
        <v>81.63</v>
      </c>
      <c r="I281" s="3">
        <v>78.760000000000005</v>
      </c>
      <c r="J281">
        <v>2</v>
      </c>
      <c r="K281" t="s">
        <v>15</v>
      </c>
      <c r="L281" t="str">
        <f t="shared" si="20"/>
        <v/>
      </c>
      <c r="M281" s="3">
        <f>Table1[[#This Row],[Quantity]]*Table1[[#This Row],[Negotiated_Price]]</f>
        <v>12759.12</v>
      </c>
      <c r="N281" s="3">
        <f>Table1[[#This Row],[Quantity]]*Table1[[#This Row],[Unit_Price]]</f>
        <v>13224.06</v>
      </c>
      <c r="O281" s="3">
        <f>Table1[[#This Row],[ Original_Spend ]]-Table1[[#This Row],[ Total_Spend ]]</f>
        <v>464.93999999999869</v>
      </c>
      <c r="P281" s="2">
        <f t="shared" si="21"/>
        <v>3.5158642655886217E-2</v>
      </c>
      <c r="Q281" s="2">
        <f t="shared" si="22"/>
        <v>1.2345679012345678E-2</v>
      </c>
      <c r="R281" t="str">
        <f t="shared" si="23"/>
        <v>Missing Delivery Date</v>
      </c>
      <c r="S281" t="str">
        <f t="shared" si="24"/>
        <v>Missing Delivery Date</v>
      </c>
    </row>
    <row r="282" spans="1:19" x14ac:dyDescent="0.25">
      <c r="A282" t="s">
        <v>307</v>
      </c>
      <c r="B282" t="s">
        <v>12</v>
      </c>
      <c r="C282" s="1">
        <v>44847</v>
      </c>
      <c r="D282" s="1">
        <v>44858</v>
      </c>
      <c r="E282" t="s">
        <v>24</v>
      </c>
      <c r="F282" t="s">
        <v>18</v>
      </c>
      <c r="G282">
        <v>51</v>
      </c>
      <c r="H282" s="3">
        <v>28.04</v>
      </c>
      <c r="I282" s="3">
        <v>24.13</v>
      </c>
      <c r="J282">
        <v>0</v>
      </c>
      <c r="K282" t="s">
        <v>15</v>
      </c>
      <c r="L282">
        <f t="shared" si="20"/>
        <v>11</v>
      </c>
      <c r="M282" s="3">
        <f>Table1[[#This Row],[Quantity]]*Table1[[#This Row],[Negotiated_Price]]</f>
        <v>1230.6299999999999</v>
      </c>
      <c r="N282" s="3">
        <f>Table1[[#This Row],[Quantity]]*Table1[[#This Row],[Unit_Price]]</f>
        <v>1430.04</v>
      </c>
      <c r="O282" s="3">
        <f>Table1[[#This Row],[ Original_Spend ]]-Table1[[#This Row],[ Total_Spend ]]</f>
        <v>199.41000000000008</v>
      </c>
      <c r="P282" s="2">
        <f t="shared" si="21"/>
        <v>0.13944365192582031</v>
      </c>
      <c r="Q282" s="2">
        <f t="shared" si="22"/>
        <v>0</v>
      </c>
      <c r="R282" t="str">
        <f t="shared" si="23"/>
        <v>Late</v>
      </c>
      <c r="S282" t="str">
        <f t="shared" si="24"/>
        <v>OK</v>
      </c>
    </row>
    <row r="283" spans="1:19" x14ac:dyDescent="0.25">
      <c r="A283" t="s">
        <v>308</v>
      </c>
      <c r="B283" t="s">
        <v>17</v>
      </c>
      <c r="C283" s="1">
        <v>45035</v>
      </c>
      <c r="D283" s="1">
        <v>45040</v>
      </c>
      <c r="E283" t="s">
        <v>13</v>
      </c>
      <c r="F283" t="s">
        <v>18</v>
      </c>
      <c r="G283">
        <v>691</v>
      </c>
      <c r="H283" s="3">
        <v>42.07</v>
      </c>
      <c r="I283" s="3">
        <v>39.1</v>
      </c>
      <c r="J283">
        <v>106</v>
      </c>
      <c r="K283" t="s">
        <v>15</v>
      </c>
      <c r="L283">
        <f t="shared" si="20"/>
        <v>5</v>
      </c>
      <c r="M283" s="3">
        <f>Table1[[#This Row],[Quantity]]*Table1[[#This Row],[Negotiated_Price]]</f>
        <v>27018.100000000002</v>
      </c>
      <c r="N283" s="3">
        <f>Table1[[#This Row],[Quantity]]*Table1[[#This Row],[Unit_Price]]</f>
        <v>29070.37</v>
      </c>
      <c r="O283" s="3">
        <f>Table1[[#This Row],[ Original_Spend ]]-Table1[[#This Row],[ Total_Spend ]]</f>
        <v>2052.2699999999968</v>
      </c>
      <c r="P283" s="2">
        <f t="shared" si="21"/>
        <v>7.059662467316366E-2</v>
      </c>
      <c r="Q283" s="2">
        <f t="shared" si="22"/>
        <v>0.15340086830680175</v>
      </c>
      <c r="R283" t="str">
        <f t="shared" si="23"/>
        <v>On Time</v>
      </c>
      <c r="S283" t="str">
        <f t="shared" si="24"/>
        <v>OK</v>
      </c>
    </row>
    <row r="284" spans="1:19" x14ac:dyDescent="0.25">
      <c r="A284" t="s">
        <v>309</v>
      </c>
      <c r="B284" t="s">
        <v>23</v>
      </c>
      <c r="C284" s="1">
        <v>44817</v>
      </c>
      <c r="D284" s="1">
        <v>44824</v>
      </c>
      <c r="E284" t="s">
        <v>13</v>
      </c>
      <c r="F284" t="s">
        <v>18</v>
      </c>
      <c r="G284">
        <v>269</v>
      </c>
      <c r="H284" s="3">
        <v>50.22</v>
      </c>
      <c r="I284" s="3">
        <v>45.75</v>
      </c>
      <c r="J284">
        <v>32</v>
      </c>
      <c r="K284" t="s">
        <v>27</v>
      </c>
      <c r="L284">
        <f t="shared" si="20"/>
        <v>7</v>
      </c>
      <c r="M284" s="3">
        <f>Table1[[#This Row],[Quantity]]*Table1[[#This Row],[Negotiated_Price]]</f>
        <v>12306.75</v>
      </c>
      <c r="N284" s="3">
        <f>Table1[[#This Row],[Quantity]]*Table1[[#This Row],[Unit_Price]]</f>
        <v>13509.18</v>
      </c>
      <c r="O284" s="3">
        <f>Table1[[#This Row],[ Original_Spend ]]-Table1[[#This Row],[ Total_Spend ]]</f>
        <v>1202.4300000000003</v>
      </c>
      <c r="P284" s="2">
        <f t="shared" si="21"/>
        <v>8.9008363201911606E-2</v>
      </c>
      <c r="Q284" s="2">
        <f t="shared" si="22"/>
        <v>0.11895910780669144</v>
      </c>
      <c r="R284" t="str">
        <f t="shared" si="23"/>
        <v>On Time</v>
      </c>
      <c r="S284" t="str">
        <f t="shared" si="24"/>
        <v>OK</v>
      </c>
    </row>
    <row r="285" spans="1:19" x14ac:dyDescent="0.25">
      <c r="A285" t="s">
        <v>310</v>
      </c>
      <c r="B285" t="s">
        <v>23</v>
      </c>
      <c r="C285" s="1">
        <v>44639</v>
      </c>
      <c r="D285" s="1">
        <v>44657</v>
      </c>
      <c r="E285" t="s">
        <v>39</v>
      </c>
      <c r="F285" t="s">
        <v>35</v>
      </c>
      <c r="G285">
        <v>1639</v>
      </c>
      <c r="H285" s="3">
        <v>56.24</v>
      </c>
      <c r="I285" s="3">
        <v>55.4</v>
      </c>
      <c r="J285">
        <v>147</v>
      </c>
      <c r="K285" t="s">
        <v>15</v>
      </c>
      <c r="L285">
        <f t="shared" si="20"/>
        <v>18</v>
      </c>
      <c r="M285" s="3">
        <f>Table1[[#This Row],[Quantity]]*Table1[[#This Row],[Negotiated_Price]]</f>
        <v>90800.599999999991</v>
      </c>
      <c r="N285" s="3">
        <f>Table1[[#This Row],[Quantity]]*Table1[[#This Row],[Unit_Price]]</f>
        <v>92177.36</v>
      </c>
      <c r="O285" s="3">
        <f>Table1[[#This Row],[ Original_Spend ]]-Table1[[#This Row],[ Total_Spend ]]</f>
        <v>1376.7600000000093</v>
      </c>
      <c r="P285" s="2">
        <f t="shared" si="21"/>
        <v>1.4935988620199247E-2</v>
      </c>
      <c r="Q285" s="2">
        <f t="shared" si="22"/>
        <v>8.9688834655277605E-2</v>
      </c>
      <c r="R285" t="str">
        <f t="shared" si="23"/>
        <v>Pending</v>
      </c>
      <c r="S285" t="str">
        <f t="shared" si="24"/>
        <v>Status-Date Conflict</v>
      </c>
    </row>
    <row r="286" spans="1:19" x14ac:dyDescent="0.25">
      <c r="A286" t="s">
        <v>311</v>
      </c>
      <c r="B286" t="s">
        <v>12</v>
      </c>
      <c r="C286" s="1">
        <v>45015</v>
      </c>
      <c r="D286" s="1">
        <v>45022</v>
      </c>
      <c r="E286" t="s">
        <v>26</v>
      </c>
      <c r="F286" t="s">
        <v>18</v>
      </c>
      <c r="G286">
        <v>904</v>
      </c>
      <c r="H286" s="3">
        <v>34.04</v>
      </c>
      <c r="I286" s="3">
        <v>30.06</v>
      </c>
      <c r="J286">
        <v>26</v>
      </c>
      <c r="K286" t="s">
        <v>15</v>
      </c>
      <c r="L286">
        <f t="shared" si="20"/>
        <v>7</v>
      </c>
      <c r="M286" s="3">
        <f>Table1[[#This Row],[Quantity]]*Table1[[#This Row],[Negotiated_Price]]</f>
        <v>27174.239999999998</v>
      </c>
      <c r="N286" s="3">
        <f>Table1[[#This Row],[Quantity]]*Table1[[#This Row],[Unit_Price]]</f>
        <v>30772.16</v>
      </c>
      <c r="O286" s="3">
        <f>Table1[[#This Row],[ Original_Spend ]]-Table1[[#This Row],[ Total_Spend ]]</f>
        <v>3597.9200000000019</v>
      </c>
      <c r="P286" s="2">
        <f t="shared" si="21"/>
        <v>0.1169212690951822</v>
      </c>
      <c r="Q286" s="2">
        <f t="shared" si="22"/>
        <v>2.8761061946902654E-2</v>
      </c>
      <c r="R286" t="str">
        <f t="shared" si="23"/>
        <v>On Time</v>
      </c>
      <c r="S286" t="str">
        <f t="shared" si="24"/>
        <v>OK</v>
      </c>
    </row>
    <row r="287" spans="1:19" x14ac:dyDescent="0.25">
      <c r="A287" t="s">
        <v>312</v>
      </c>
      <c r="B287" t="s">
        <v>23</v>
      </c>
      <c r="C287" s="1">
        <v>45125</v>
      </c>
      <c r="D287" s="1">
        <v>45133</v>
      </c>
      <c r="E287" t="s">
        <v>13</v>
      </c>
      <c r="F287" t="s">
        <v>18</v>
      </c>
      <c r="G287">
        <v>1809</v>
      </c>
      <c r="H287" s="3">
        <v>22.17</v>
      </c>
      <c r="I287" s="3">
        <v>19.649999999999999</v>
      </c>
      <c r="K287" t="s">
        <v>15</v>
      </c>
      <c r="L287">
        <f t="shared" si="20"/>
        <v>8</v>
      </c>
      <c r="M287" s="3">
        <f>Table1[[#This Row],[Quantity]]*Table1[[#This Row],[Negotiated_Price]]</f>
        <v>35546.85</v>
      </c>
      <c r="N287" s="3">
        <f>Table1[[#This Row],[Quantity]]*Table1[[#This Row],[Unit_Price]]</f>
        <v>40105.530000000006</v>
      </c>
      <c r="O287" s="3">
        <f>Table1[[#This Row],[ Original_Spend ]]-Table1[[#This Row],[ Total_Spend ]]</f>
        <v>4558.6800000000076</v>
      </c>
      <c r="P287" s="2">
        <f t="shared" si="21"/>
        <v>0.11366711772665782</v>
      </c>
      <c r="Q287" s="2">
        <f t="shared" si="22"/>
        <v>0</v>
      </c>
      <c r="R287" t="str">
        <f t="shared" si="23"/>
        <v>On Time</v>
      </c>
      <c r="S287" t="str">
        <f t="shared" si="24"/>
        <v>OK</v>
      </c>
    </row>
    <row r="288" spans="1:19" x14ac:dyDescent="0.25">
      <c r="A288" t="s">
        <v>313</v>
      </c>
      <c r="B288" t="s">
        <v>12</v>
      </c>
      <c r="C288" s="1">
        <v>44662</v>
      </c>
      <c r="D288" s="1">
        <v>44667</v>
      </c>
      <c r="E288" t="s">
        <v>24</v>
      </c>
      <c r="F288" t="s">
        <v>18</v>
      </c>
      <c r="G288">
        <v>1298</v>
      </c>
      <c r="H288" s="3">
        <v>65.930000000000007</v>
      </c>
      <c r="I288" s="3">
        <v>58.95</v>
      </c>
      <c r="K288" t="s">
        <v>15</v>
      </c>
      <c r="L288">
        <f t="shared" si="20"/>
        <v>5</v>
      </c>
      <c r="M288" s="3">
        <f>Table1[[#This Row],[Quantity]]*Table1[[#This Row],[Negotiated_Price]]</f>
        <v>76517.100000000006</v>
      </c>
      <c r="N288" s="3">
        <f>Table1[[#This Row],[Quantity]]*Table1[[#This Row],[Unit_Price]]</f>
        <v>85577.140000000014</v>
      </c>
      <c r="O288" s="3">
        <f>Table1[[#This Row],[ Original_Spend ]]-Table1[[#This Row],[ Total_Spend ]]</f>
        <v>9060.0400000000081</v>
      </c>
      <c r="P288" s="2">
        <f t="shared" si="21"/>
        <v>0.10586986197482186</v>
      </c>
      <c r="Q288" s="2">
        <f t="shared" si="22"/>
        <v>0</v>
      </c>
      <c r="R288" t="str">
        <f t="shared" si="23"/>
        <v>On Time</v>
      </c>
      <c r="S288" t="str">
        <f t="shared" si="24"/>
        <v>OK</v>
      </c>
    </row>
    <row r="289" spans="1:19" x14ac:dyDescent="0.25">
      <c r="A289" t="s">
        <v>314</v>
      </c>
      <c r="B289" t="s">
        <v>23</v>
      </c>
      <c r="C289" s="1">
        <v>44613</v>
      </c>
      <c r="D289" s="1">
        <v>44633</v>
      </c>
      <c r="E289" t="s">
        <v>24</v>
      </c>
      <c r="F289" t="s">
        <v>18</v>
      </c>
      <c r="G289">
        <v>434</v>
      </c>
      <c r="H289" s="3">
        <v>36.159999999999997</v>
      </c>
      <c r="I289" s="3">
        <v>34.79</v>
      </c>
      <c r="J289">
        <v>41</v>
      </c>
      <c r="K289" t="s">
        <v>15</v>
      </c>
      <c r="L289">
        <f t="shared" si="20"/>
        <v>20</v>
      </c>
      <c r="M289" s="3">
        <f>Table1[[#This Row],[Quantity]]*Table1[[#This Row],[Negotiated_Price]]</f>
        <v>15098.859999999999</v>
      </c>
      <c r="N289" s="3">
        <f>Table1[[#This Row],[Quantity]]*Table1[[#This Row],[Unit_Price]]</f>
        <v>15693.439999999999</v>
      </c>
      <c r="O289" s="3">
        <f>Table1[[#This Row],[ Original_Spend ]]-Table1[[#This Row],[ Total_Spend ]]</f>
        <v>594.57999999999993</v>
      </c>
      <c r="P289" s="2">
        <f t="shared" si="21"/>
        <v>3.7887168141592917E-2</v>
      </c>
      <c r="Q289" s="2">
        <f t="shared" si="22"/>
        <v>9.4470046082949302E-2</v>
      </c>
      <c r="R289" t="str">
        <f t="shared" si="23"/>
        <v>Late</v>
      </c>
      <c r="S289" t="str">
        <f t="shared" si="24"/>
        <v>OK</v>
      </c>
    </row>
    <row r="290" spans="1:19" x14ac:dyDescent="0.25">
      <c r="A290" t="s">
        <v>315</v>
      </c>
      <c r="B290" t="s">
        <v>29</v>
      </c>
      <c r="C290" s="1">
        <v>45229</v>
      </c>
      <c r="D290" s="1">
        <v>45234</v>
      </c>
      <c r="E290" t="s">
        <v>39</v>
      </c>
      <c r="F290" t="s">
        <v>18</v>
      </c>
      <c r="G290">
        <v>1476</v>
      </c>
      <c r="H290" s="3">
        <v>68.849999999999994</v>
      </c>
      <c r="I290" s="3">
        <v>65.28</v>
      </c>
      <c r="J290">
        <v>43</v>
      </c>
      <c r="K290" t="s">
        <v>15</v>
      </c>
      <c r="L290">
        <f t="shared" si="20"/>
        <v>5</v>
      </c>
      <c r="M290" s="3">
        <f>Table1[[#This Row],[Quantity]]*Table1[[#This Row],[Negotiated_Price]]</f>
        <v>96353.279999999999</v>
      </c>
      <c r="N290" s="3">
        <f>Table1[[#This Row],[Quantity]]*Table1[[#This Row],[Unit_Price]]</f>
        <v>101622.59999999999</v>
      </c>
      <c r="O290" s="3">
        <f>Table1[[#This Row],[ Original_Spend ]]-Table1[[#This Row],[ Total_Spend ]]</f>
        <v>5269.3199999999924</v>
      </c>
      <c r="P290" s="2">
        <f t="shared" si="21"/>
        <v>5.1851851851851781E-2</v>
      </c>
      <c r="Q290" s="2">
        <f t="shared" si="22"/>
        <v>2.9132791327913278E-2</v>
      </c>
      <c r="R290" t="str">
        <f t="shared" si="23"/>
        <v>On Time</v>
      </c>
      <c r="S290" t="str">
        <f t="shared" si="24"/>
        <v>OK</v>
      </c>
    </row>
    <row r="291" spans="1:19" x14ac:dyDescent="0.25">
      <c r="A291" t="s">
        <v>316</v>
      </c>
      <c r="B291" t="s">
        <v>17</v>
      </c>
      <c r="C291" s="1">
        <v>45115</v>
      </c>
      <c r="E291" t="s">
        <v>26</v>
      </c>
      <c r="F291" t="s">
        <v>33</v>
      </c>
      <c r="G291">
        <v>1711</v>
      </c>
      <c r="H291" s="3">
        <v>26.04</v>
      </c>
      <c r="I291" s="3">
        <v>24.81</v>
      </c>
      <c r="J291">
        <v>290</v>
      </c>
      <c r="K291" t="s">
        <v>15</v>
      </c>
      <c r="L291" t="str">
        <f t="shared" si="20"/>
        <v/>
      </c>
      <c r="M291" s="3">
        <f>Table1[[#This Row],[Quantity]]*Table1[[#This Row],[Negotiated_Price]]</f>
        <v>42449.909999999996</v>
      </c>
      <c r="N291" s="3">
        <f>Table1[[#This Row],[Quantity]]*Table1[[#This Row],[Unit_Price]]</f>
        <v>44554.439999999995</v>
      </c>
      <c r="O291" s="3">
        <f>Table1[[#This Row],[ Original_Spend ]]-Table1[[#This Row],[ Total_Spend ]]</f>
        <v>2104.5299999999988</v>
      </c>
      <c r="P291" s="2">
        <f t="shared" si="21"/>
        <v>4.723502304147463E-2</v>
      </c>
      <c r="Q291" s="2">
        <f t="shared" si="22"/>
        <v>0.16949152542372881</v>
      </c>
      <c r="R291" t="str">
        <f t="shared" si="23"/>
        <v>Partially Delivered</v>
      </c>
      <c r="S291" t="str">
        <f t="shared" si="24"/>
        <v>OK</v>
      </c>
    </row>
    <row r="292" spans="1:19" x14ac:dyDescent="0.25">
      <c r="A292" t="s">
        <v>317</v>
      </c>
      <c r="B292" t="s">
        <v>20</v>
      </c>
      <c r="C292" s="1">
        <v>44577</v>
      </c>
      <c r="D292" s="1">
        <v>44583</v>
      </c>
      <c r="E292" t="s">
        <v>24</v>
      </c>
      <c r="F292" t="s">
        <v>18</v>
      </c>
      <c r="G292">
        <v>1203</v>
      </c>
      <c r="H292" s="3">
        <v>53.3</v>
      </c>
      <c r="I292" s="3">
        <v>47.68</v>
      </c>
      <c r="J292">
        <v>49</v>
      </c>
      <c r="K292" t="s">
        <v>15</v>
      </c>
      <c r="L292">
        <f t="shared" si="20"/>
        <v>6</v>
      </c>
      <c r="M292" s="3">
        <f>Table1[[#This Row],[Quantity]]*Table1[[#This Row],[Negotiated_Price]]</f>
        <v>57359.040000000001</v>
      </c>
      <c r="N292" s="3">
        <f>Table1[[#This Row],[Quantity]]*Table1[[#This Row],[Unit_Price]]</f>
        <v>64119.899999999994</v>
      </c>
      <c r="O292" s="3">
        <f>Table1[[#This Row],[ Original_Spend ]]-Table1[[#This Row],[ Total_Spend ]]</f>
        <v>6760.8599999999933</v>
      </c>
      <c r="P292" s="2">
        <f t="shared" si="21"/>
        <v>0.10544090056285169</v>
      </c>
      <c r="Q292" s="2">
        <f t="shared" si="22"/>
        <v>4.0731504571903575E-2</v>
      </c>
      <c r="R292" t="str">
        <f t="shared" si="23"/>
        <v>On Time</v>
      </c>
      <c r="S292" t="str">
        <f t="shared" si="24"/>
        <v>OK</v>
      </c>
    </row>
    <row r="293" spans="1:19" x14ac:dyDescent="0.25">
      <c r="A293" t="s">
        <v>318</v>
      </c>
      <c r="B293" t="s">
        <v>12</v>
      </c>
      <c r="C293" s="1">
        <v>44657</v>
      </c>
      <c r="D293" s="1">
        <v>44658</v>
      </c>
      <c r="E293" t="s">
        <v>39</v>
      </c>
      <c r="F293" t="s">
        <v>18</v>
      </c>
      <c r="G293">
        <v>1126</v>
      </c>
      <c r="H293" s="3">
        <v>58.8</v>
      </c>
      <c r="I293" s="3">
        <v>52.22</v>
      </c>
      <c r="K293" t="s">
        <v>15</v>
      </c>
      <c r="L293">
        <f t="shared" si="20"/>
        <v>1</v>
      </c>
      <c r="M293" s="3">
        <f>Table1[[#This Row],[Quantity]]*Table1[[#This Row],[Negotiated_Price]]</f>
        <v>58799.72</v>
      </c>
      <c r="N293" s="3">
        <f>Table1[[#This Row],[Quantity]]*Table1[[#This Row],[Unit_Price]]</f>
        <v>66208.800000000003</v>
      </c>
      <c r="O293" s="3">
        <f>Table1[[#This Row],[ Original_Spend ]]-Table1[[#This Row],[ Total_Spend ]]</f>
        <v>7409.0800000000017</v>
      </c>
      <c r="P293" s="2">
        <f t="shared" si="21"/>
        <v>0.11190476190476192</v>
      </c>
      <c r="Q293" s="2">
        <f t="shared" si="22"/>
        <v>0</v>
      </c>
      <c r="R293" t="str">
        <f t="shared" si="23"/>
        <v>On Time</v>
      </c>
      <c r="S293" t="str">
        <f t="shared" si="24"/>
        <v>OK</v>
      </c>
    </row>
    <row r="294" spans="1:19" x14ac:dyDescent="0.25">
      <c r="A294" t="s">
        <v>319</v>
      </c>
      <c r="B294" t="s">
        <v>29</v>
      </c>
      <c r="C294" s="1">
        <v>44804</v>
      </c>
      <c r="D294" s="1">
        <v>44816</v>
      </c>
      <c r="E294" t="s">
        <v>24</v>
      </c>
      <c r="F294" t="s">
        <v>18</v>
      </c>
      <c r="G294">
        <v>1757</v>
      </c>
      <c r="H294" s="3">
        <v>15.18</v>
      </c>
      <c r="I294" s="3">
        <v>13.06</v>
      </c>
      <c r="J294">
        <v>63</v>
      </c>
      <c r="K294" t="s">
        <v>15</v>
      </c>
      <c r="L294">
        <f t="shared" si="20"/>
        <v>12</v>
      </c>
      <c r="M294" s="3">
        <f>Table1[[#This Row],[Quantity]]*Table1[[#This Row],[Negotiated_Price]]</f>
        <v>22946.420000000002</v>
      </c>
      <c r="N294" s="3">
        <f>Table1[[#This Row],[Quantity]]*Table1[[#This Row],[Unit_Price]]</f>
        <v>26671.26</v>
      </c>
      <c r="O294" s="3">
        <f>Table1[[#This Row],[ Original_Spend ]]-Table1[[#This Row],[ Total_Spend ]]</f>
        <v>3724.8399999999965</v>
      </c>
      <c r="P294" s="2">
        <f t="shared" si="21"/>
        <v>0.13965744400526997</v>
      </c>
      <c r="Q294" s="2">
        <f t="shared" si="22"/>
        <v>3.5856573705179286E-2</v>
      </c>
      <c r="R294" t="str">
        <f t="shared" si="23"/>
        <v>Late</v>
      </c>
      <c r="S294" t="str">
        <f t="shared" si="24"/>
        <v>OK</v>
      </c>
    </row>
    <row r="295" spans="1:19" x14ac:dyDescent="0.25">
      <c r="A295" t="s">
        <v>320</v>
      </c>
      <c r="B295" t="s">
        <v>29</v>
      </c>
      <c r="C295" s="1">
        <v>44732</v>
      </c>
      <c r="D295" s="1">
        <v>44740</v>
      </c>
      <c r="E295" t="s">
        <v>21</v>
      </c>
      <c r="F295" t="s">
        <v>18</v>
      </c>
      <c r="G295">
        <v>779</v>
      </c>
      <c r="H295" s="3">
        <v>41.3</v>
      </c>
      <c r="I295" s="3">
        <v>36.28</v>
      </c>
      <c r="J295">
        <v>20</v>
      </c>
      <c r="K295" t="s">
        <v>15</v>
      </c>
      <c r="L295">
        <f t="shared" si="20"/>
        <v>8</v>
      </c>
      <c r="M295" s="3">
        <f>Table1[[#This Row],[Quantity]]*Table1[[#This Row],[Negotiated_Price]]</f>
        <v>28262.120000000003</v>
      </c>
      <c r="N295" s="3">
        <f>Table1[[#This Row],[Quantity]]*Table1[[#This Row],[Unit_Price]]</f>
        <v>32172.699999999997</v>
      </c>
      <c r="O295" s="3">
        <f>Table1[[#This Row],[ Original_Spend ]]-Table1[[#This Row],[ Total_Spend ]]</f>
        <v>3910.5799999999945</v>
      </c>
      <c r="P295" s="2">
        <f t="shared" si="21"/>
        <v>0.12154963680387393</v>
      </c>
      <c r="Q295" s="2">
        <f t="shared" si="22"/>
        <v>2.5673940949935817E-2</v>
      </c>
      <c r="R295" t="str">
        <f t="shared" si="23"/>
        <v>On Time</v>
      </c>
      <c r="S295" t="str">
        <f t="shared" si="24"/>
        <v>OK</v>
      </c>
    </row>
    <row r="296" spans="1:19" x14ac:dyDescent="0.25">
      <c r="A296" t="s">
        <v>321</v>
      </c>
      <c r="B296" t="s">
        <v>17</v>
      </c>
      <c r="C296" s="1">
        <v>44978</v>
      </c>
      <c r="D296" s="1">
        <v>44979</v>
      </c>
      <c r="E296" t="s">
        <v>13</v>
      </c>
      <c r="F296" t="s">
        <v>18</v>
      </c>
      <c r="G296">
        <v>1745</v>
      </c>
      <c r="H296" s="3">
        <v>23.53</v>
      </c>
      <c r="I296" s="3">
        <v>22.57</v>
      </c>
      <c r="J296">
        <v>282</v>
      </c>
      <c r="K296" t="s">
        <v>27</v>
      </c>
      <c r="L296">
        <f t="shared" si="20"/>
        <v>1</v>
      </c>
      <c r="M296" s="3">
        <f>Table1[[#This Row],[Quantity]]*Table1[[#This Row],[Negotiated_Price]]</f>
        <v>39384.65</v>
      </c>
      <c r="N296" s="3">
        <f>Table1[[#This Row],[Quantity]]*Table1[[#This Row],[Unit_Price]]</f>
        <v>41059.85</v>
      </c>
      <c r="O296" s="3">
        <f>Table1[[#This Row],[ Original_Spend ]]-Table1[[#This Row],[ Total_Spend ]]</f>
        <v>1675.1999999999971</v>
      </c>
      <c r="P296" s="2">
        <f t="shared" si="21"/>
        <v>4.0798980025499296E-2</v>
      </c>
      <c r="Q296" s="2">
        <f t="shared" si="22"/>
        <v>0.16160458452722062</v>
      </c>
      <c r="R296" t="str">
        <f t="shared" si="23"/>
        <v>On Time</v>
      </c>
      <c r="S296" t="str">
        <f t="shared" si="24"/>
        <v>OK</v>
      </c>
    </row>
    <row r="297" spans="1:19" x14ac:dyDescent="0.25">
      <c r="A297" t="s">
        <v>322</v>
      </c>
      <c r="B297" t="s">
        <v>17</v>
      </c>
      <c r="C297" s="1">
        <v>45059</v>
      </c>
      <c r="D297" s="1">
        <v>45061</v>
      </c>
      <c r="E297" t="s">
        <v>26</v>
      </c>
      <c r="F297" t="s">
        <v>18</v>
      </c>
      <c r="G297">
        <v>1783</v>
      </c>
      <c r="H297" s="3">
        <v>16.96</v>
      </c>
      <c r="I297" s="3">
        <v>15.8</v>
      </c>
      <c r="J297">
        <v>295</v>
      </c>
      <c r="K297" t="s">
        <v>15</v>
      </c>
      <c r="L297">
        <f t="shared" si="20"/>
        <v>2</v>
      </c>
      <c r="M297" s="3">
        <f>Table1[[#This Row],[Quantity]]*Table1[[#This Row],[Negotiated_Price]]</f>
        <v>28171.4</v>
      </c>
      <c r="N297" s="3">
        <f>Table1[[#This Row],[Quantity]]*Table1[[#This Row],[Unit_Price]]</f>
        <v>30239.68</v>
      </c>
      <c r="O297" s="3">
        <f>Table1[[#This Row],[ Original_Spend ]]-Table1[[#This Row],[ Total_Spend ]]</f>
        <v>2068.2799999999988</v>
      </c>
      <c r="P297" s="2">
        <f t="shared" si="21"/>
        <v>6.8396226415094297E-2</v>
      </c>
      <c r="Q297" s="2">
        <f t="shared" si="22"/>
        <v>0.16545148625911385</v>
      </c>
      <c r="R297" t="str">
        <f t="shared" si="23"/>
        <v>On Time</v>
      </c>
      <c r="S297" t="str">
        <f t="shared" si="24"/>
        <v>OK</v>
      </c>
    </row>
    <row r="298" spans="1:19" x14ac:dyDescent="0.25">
      <c r="A298" t="s">
        <v>323</v>
      </c>
      <c r="B298" t="s">
        <v>12</v>
      </c>
      <c r="C298" s="1">
        <v>45054</v>
      </c>
      <c r="D298" s="1">
        <v>45068</v>
      </c>
      <c r="E298" t="s">
        <v>13</v>
      </c>
      <c r="F298" t="s">
        <v>33</v>
      </c>
      <c r="G298">
        <v>1489</v>
      </c>
      <c r="H298" s="3">
        <v>107.02</v>
      </c>
      <c r="I298" s="3">
        <v>93.3</v>
      </c>
      <c r="K298" t="s">
        <v>15</v>
      </c>
      <c r="L298">
        <f t="shared" si="20"/>
        <v>14</v>
      </c>
      <c r="M298" s="3">
        <f>Table1[[#This Row],[Quantity]]*Table1[[#This Row],[Negotiated_Price]]</f>
        <v>138923.69999999998</v>
      </c>
      <c r="N298" s="3">
        <f>Table1[[#This Row],[Quantity]]*Table1[[#This Row],[Unit_Price]]</f>
        <v>159352.78</v>
      </c>
      <c r="O298" s="3">
        <f>Table1[[#This Row],[ Original_Spend ]]-Table1[[#This Row],[ Total_Spend ]]</f>
        <v>20429.080000000016</v>
      </c>
      <c r="P298" s="2">
        <f t="shared" si="21"/>
        <v>0.1282003363857224</v>
      </c>
      <c r="Q298" s="2">
        <f t="shared" si="22"/>
        <v>0</v>
      </c>
      <c r="R298" t="str">
        <f t="shared" si="23"/>
        <v>Partially Delivered</v>
      </c>
      <c r="S298" t="str">
        <f t="shared" si="24"/>
        <v>Status-Date Conflict</v>
      </c>
    </row>
    <row r="299" spans="1:19" x14ac:dyDescent="0.25">
      <c r="A299" t="s">
        <v>324</v>
      </c>
      <c r="B299" t="s">
        <v>12</v>
      </c>
      <c r="C299" s="1">
        <v>44780</v>
      </c>
      <c r="D299" s="1">
        <v>44783</v>
      </c>
      <c r="E299" t="s">
        <v>13</v>
      </c>
      <c r="F299" t="s">
        <v>18</v>
      </c>
      <c r="G299">
        <v>296</v>
      </c>
      <c r="H299" s="3">
        <v>40.380000000000003</v>
      </c>
      <c r="I299" s="3">
        <v>35.25</v>
      </c>
      <c r="K299" t="s">
        <v>15</v>
      </c>
      <c r="L299">
        <f t="shared" si="20"/>
        <v>3</v>
      </c>
      <c r="M299" s="3">
        <f>Table1[[#This Row],[Quantity]]*Table1[[#This Row],[Negotiated_Price]]</f>
        <v>10434</v>
      </c>
      <c r="N299" s="3">
        <f>Table1[[#This Row],[Quantity]]*Table1[[#This Row],[Unit_Price]]</f>
        <v>11952.480000000001</v>
      </c>
      <c r="O299" s="3">
        <f>Table1[[#This Row],[ Original_Spend ]]-Table1[[#This Row],[ Total_Spend ]]</f>
        <v>1518.4800000000014</v>
      </c>
      <c r="P299" s="2">
        <f t="shared" si="21"/>
        <v>0.12704309063893027</v>
      </c>
      <c r="Q299" s="2">
        <f t="shared" si="22"/>
        <v>0</v>
      </c>
      <c r="R299" t="str">
        <f t="shared" si="23"/>
        <v>On Time</v>
      </c>
      <c r="S299" t="str">
        <f t="shared" si="24"/>
        <v>OK</v>
      </c>
    </row>
    <row r="300" spans="1:19" x14ac:dyDescent="0.25">
      <c r="A300" t="s">
        <v>325</v>
      </c>
      <c r="B300" t="s">
        <v>29</v>
      </c>
      <c r="C300" s="1">
        <v>44972</v>
      </c>
      <c r="D300" s="1">
        <v>44984</v>
      </c>
      <c r="E300" t="s">
        <v>21</v>
      </c>
      <c r="F300" t="s">
        <v>18</v>
      </c>
      <c r="G300">
        <v>885</v>
      </c>
      <c r="H300" s="3">
        <v>88.28</v>
      </c>
      <c r="I300" s="3">
        <v>80.8</v>
      </c>
      <c r="J300">
        <v>31</v>
      </c>
      <c r="K300" t="s">
        <v>15</v>
      </c>
      <c r="L300">
        <f t="shared" si="20"/>
        <v>12</v>
      </c>
      <c r="M300" s="3">
        <f>Table1[[#This Row],[Quantity]]*Table1[[#This Row],[Negotiated_Price]]</f>
        <v>71508</v>
      </c>
      <c r="N300" s="3">
        <f>Table1[[#This Row],[Quantity]]*Table1[[#This Row],[Unit_Price]]</f>
        <v>78127.8</v>
      </c>
      <c r="O300" s="3">
        <f>Table1[[#This Row],[ Original_Spend ]]-Table1[[#This Row],[ Total_Spend ]]</f>
        <v>6619.8000000000029</v>
      </c>
      <c r="P300" s="2">
        <f t="shared" si="21"/>
        <v>8.4730403262347112E-2</v>
      </c>
      <c r="Q300" s="2">
        <f t="shared" si="22"/>
        <v>3.5028248587570622E-2</v>
      </c>
      <c r="R300" t="str">
        <f t="shared" si="23"/>
        <v>Late</v>
      </c>
      <c r="S300" t="str">
        <f t="shared" si="24"/>
        <v>OK</v>
      </c>
    </row>
    <row r="301" spans="1:19" x14ac:dyDescent="0.25">
      <c r="A301" t="s">
        <v>326</v>
      </c>
      <c r="B301" t="s">
        <v>29</v>
      </c>
      <c r="C301" s="1">
        <v>44622</v>
      </c>
      <c r="D301" s="1">
        <v>44626</v>
      </c>
      <c r="E301" t="s">
        <v>26</v>
      </c>
      <c r="F301" t="s">
        <v>35</v>
      </c>
      <c r="G301">
        <v>1512</v>
      </c>
      <c r="H301" s="3">
        <v>33.25</v>
      </c>
      <c r="I301" s="3">
        <v>30.15</v>
      </c>
      <c r="J301">
        <v>53</v>
      </c>
      <c r="K301" t="s">
        <v>15</v>
      </c>
      <c r="L301">
        <f t="shared" si="20"/>
        <v>4</v>
      </c>
      <c r="M301" s="3">
        <f>Table1[[#This Row],[Quantity]]*Table1[[#This Row],[Negotiated_Price]]</f>
        <v>45586.799999999996</v>
      </c>
      <c r="N301" s="3">
        <f>Table1[[#This Row],[Quantity]]*Table1[[#This Row],[Unit_Price]]</f>
        <v>50274</v>
      </c>
      <c r="O301" s="3">
        <f>Table1[[#This Row],[ Original_Spend ]]-Table1[[#This Row],[ Total_Spend ]]</f>
        <v>4687.2000000000044</v>
      </c>
      <c r="P301" s="2">
        <f t="shared" si="21"/>
        <v>9.3233082706767001E-2</v>
      </c>
      <c r="Q301" s="2">
        <f t="shared" si="22"/>
        <v>3.5052910052910051E-2</v>
      </c>
      <c r="R301" t="str">
        <f t="shared" si="23"/>
        <v>Pending</v>
      </c>
      <c r="S301" t="str">
        <f t="shared" si="24"/>
        <v>Status-Date Conflict</v>
      </c>
    </row>
    <row r="302" spans="1:19" x14ac:dyDescent="0.25">
      <c r="A302" t="s">
        <v>327</v>
      </c>
      <c r="B302" t="s">
        <v>17</v>
      </c>
      <c r="C302" s="1">
        <v>44730</v>
      </c>
      <c r="D302" s="1">
        <v>44738</v>
      </c>
      <c r="E302" t="s">
        <v>13</v>
      </c>
      <c r="F302" t="s">
        <v>18</v>
      </c>
      <c r="G302">
        <v>252</v>
      </c>
      <c r="H302" s="3">
        <v>73.12</v>
      </c>
      <c r="I302" s="3">
        <v>67.64</v>
      </c>
      <c r="K302" t="s">
        <v>27</v>
      </c>
      <c r="L302">
        <f t="shared" si="20"/>
        <v>8</v>
      </c>
      <c r="M302" s="3">
        <f>Table1[[#This Row],[Quantity]]*Table1[[#This Row],[Negotiated_Price]]</f>
        <v>17045.28</v>
      </c>
      <c r="N302" s="3">
        <f>Table1[[#This Row],[Quantity]]*Table1[[#This Row],[Unit_Price]]</f>
        <v>18426.240000000002</v>
      </c>
      <c r="O302" s="3">
        <f>Table1[[#This Row],[ Original_Spend ]]-Table1[[#This Row],[ Total_Spend ]]</f>
        <v>1380.9600000000028</v>
      </c>
      <c r="P302" s="2">
        <f t="shared" si="21"/>
        <v>7.494529540481415E-2</v>
      </c>
      <c r="Q302" s="2">
        <f t="shared" si="22"/>
        <v>0</v>
      </c>
      <c r="R302" t="str">
        <f t="shared" si="23"/>
        <v>On Time</v>
      </c>
      <c r="S302" t="str">
        <f t="shared" si="24"/>
        <v>OK</v>
      </c>
    </row>
    <row r="303" spans="1:19" x14ac:dyDescent="0.25">
      <c r="A303" t="s">
        <v>328</v>
      </c>
      <c r="B303" t="s">
        <v>12</v>
      </c>
      <c r="C303" s="1">
        <v>44950</v>
      </c>
      <c r="E303" t="s">
        <v>39</v>
      </c>
      <c r="F303" t="s">
        <v>14</v>
      </c>
      <c r="G303">
        <v>1257</v>
      </c>
      <c r="H303" s="3">
        <v>83.13</v>
      </c>
      <c r="I303" s="3">
        <v>81.89</v>
      </c>
      <c r="J303">
        <v>30</v>
      </c>
      <c r="K303" t="s">
        <v>15</v>
      </c>
      <c r="L303" t="str">
        <f t="shared" si="20"/>
        <v/>
      </c>
      <c r="M303" s="3">
        <f>Table1[[#This Row],[Quantity]]*Table1[[#This Row],[Negotiated_Price]]</f>
        <v>102935.73</v>
      </c>
      <c r="N303" s="3">
        <f>Table1[[#This Row],[Quantity]]*Table1[[#This Row],[Unit_Price]]</f>
        <v>104494.40999999999</v>
      </c>
      <c r="O303" s="3">
        <f>Table1[[#This Row],[ Original_Spend ]]-Table1[[#This Row],[ Total_Spend ]]</f>
        <v>1558.679999999993</v>
      </c>
      <c r="P303" s="2">
        <f t="shared" si="21"/>
        <v>1.4916396006255198E-2</v>
      </c>
      <c r="Q303" s="2">
        <f t="shared" si="22"/>
        <v>2.386634844868735E-2</v>
      </c>
      <c r="R303" t="str">
        <f t="shared" si="23"/>
        <v>Cancelled</v>
      </c>
      <c r="S303" t="str">
        <f t="shared" si="24"/>
        <v>OK</v>
      </c>
    </row>
    <row r="304" spans="1:19" x14ac:dyDescent="0.25">
      <c r="A304" t="s">
        <v>329</v>
      </c>
      <c r="B304" t="s">
        <v>12</v>
      </c>
      <c r="C304" s="1">
        <v>44564</v>
      </c>
      <c r="D304" s="1">
        <v>44581</v>
      </c>
      <c r="E304" t="s">
        <v>24</v>
      </c>
      <c r="F304" t="s">
        <v>18</v>
      </c>
      <c r="G304">
        <v>172</v>
      </c>
      <c r="H304" s="3">
        <v>63.61</v>
      </c>
      <c r="I304" s="3">
        <v>55.92</v>
      </c>
      <c r="J304">
        <v>4</v>
      </c>
      <c r="K304" t="s">
        <v>15</v>
      </c>
      <c r="L304">
        <f t="shared" si="20"/>
        <v>17</v>
      </c>
      <c r="M304" s="3">
        <f>Table1[[#This Row],[Quantity]]*Table1[[#This Row],[Negotiated_Price]]</f>
        <v>9618.24</v>
      </c>
      <c r="N304" s="3">
        <f>Table1[[#This Row],[Quantity]]*Table1[[#This Row],[Unit_Price]]</f>
        <v>10940.92</v>
      </c>
      <c r="O304" s="3">
        <f>Table1[[#This Row],[ Original_Spend ]]-Table1[[#This Row],[ Total_Spend ]]</f>
        <v>1322.6800000000003</v>
      </c>
      <c r="P304" s="2">
        <f t="shared" si="21"/>
        <v>0.12089294136142119</v>
      </c>
      <c r="Q304" s="2">
        <f t="shared" si="22"/>
        <v>2.3255813953488372E-2</v>
      </c>
      <c r="R304" t="str">
        <f t="shared" si="23"/>
        <v>Late</v>
      </c>
      <c r="S304" t="str">
        <f t="shared" si="24"/>
        <v>OK</v>
      </c>
    </row>
    <row r="305" spans="1:19" x14ac:dyDescent="0.25">
      <c r="A305" t="s">
        <v>330</v>
      </c>
      <c r="B305" t="s">
        <v>29</v>
      </c>
      <c r="C305" s="1">
        <v>44961</v>
      </c>
      <c r="D305" s="1">
        <v>44962</v>
      </c>
      <c r="E305" t="s">
        <v>24</v>
      </c>
      <c r="F305" t="s">
        <v>35</v>
      </c>
      <c r="G305">
        <v>450</v>
      </c>
      <c r="H305" s="3">
        <v>55.85</v>
      </c>
      <c r="I305" s="3">
        <v>49.88</v>
      </c>
      <c r="J305">
        <v>9</v>
      </c>
      <c r="K305" t="s">
        <v>15</v>
      </c>
      <c r="L305">
        <f t="shared" si="20"/>
        <v>1</v>
      </c>
      <c r="M305" s="3">
        <f>Table1[[#This Row],[Quantity]]*Table1[[#This Row],[Negotiated_Price]]</f>
        <v>22446</v>
      </c>
      <c r="N305" s="3">
        <f>Table1[[#This Row],[Quantity]]*Table1[[#This Row],[Unit_Price]]</f>
        <v>25132.5</v>
      </c>
      <c r="O305" s="3">
        <f>Table1[[#This Row],[ Original_Spend ]]-Table1[[#This Row],[ Total_Spend ]]</f>
        <v>2686.5</v>
      </c>
      <c r="P305" s="2">
        <f t="shared" si="21"/>
        <v>0.10689346463742166</v>
      </c>
      <c r="Q305" s="2">
        <f t="shared" si="22"/>
        <v>0.02</v>
      </c>
      <c r="R305" t="str">
        <f t="shared" si="23"/>
        <v>Pending</v>
      </c>
      <c r="S305" t="str">
        <f t="shared" si="24"/>
        <v>Status-Date Conflict</v>
      </c>
    </row>
    <row r="306" spans="1:19" x14ac:dyDescent="0.25">
      <c r="A306" t="s">
        <v>331</v>
      </c>
      <c r="B306" t="s">
        <v>20</v>
      </c>
      <c r="C306" s="1">
        <v>44833</v>
      </c>
      <c r="D306" s="1">
        <v>44849</v>
      </c>
      <c r="E306" t="s">
        <v>39</v>
      </c>
      <c r="F306" t="s">
        <v>18</v>
      </c>
      <c r="G306">
        <v>816</v>
      </c>
      <c r="H306" s="3">
        <v>48.95</v>
      </c>
      <c r="I306" s="3">
        <v>43.42</v>
      </c>
      <c r="J306">
        <v>45</v>
      </c>
      <c r="K306" t="s">
        <v>15</v>
      </c>
      <c r="L306">
        <f t="shared" si="20"/>
        <v>16</v>
      </c>
      <c r="M306" s="3">
        <f>Table1[[#This Row],[Quantity]]*Table1[[#This Row],[Negotiated_Price]]</f>
        <v>35430.720000000001</v>
      </c>
      <c r="N306" s="3">
        <f>Table1[[#This Row],[Quantity]]*Table1[[#This Row],[Unit_Price]]</f>
        <v>39943.200000000004</v>
      </c>
      <c r="O306" s="3">
        <f>Table1[[#This Row],[ Original_Spend ]]-Table1[[#This Row],[ Total_Spend ]]</f>
        <v>4512.4800000000032</v>
      </c>
      <c r="P306" s="2">
        <f t="shared" si="21"/>
        <v>0.11297242083758945</v>
      </c>
      <c r="Q306" s="2">
        <f t="shared" si="22"/>
        <v>5.514705882352941E-2</v>
      </c>
      <c r="R306" t="str">
        <f t="shared" si="23"/>
        <v>Late</v>
      </c>
      <c r="S306" t="str">
        <f t="shared" si="24"/>
        <v>OK</v>
      </c>
    </row>
    <row r="307" spans="1:19" x14ac:dyDescent="0.25">
      <c r="A307" t="s">
        <v>332</v>
      </c>
      <c r="B307" t="s">
        <v>29</v>
      </c>
      <c r="C307" s="1">
        <v>45027</v>
      </c>
      <c r="D307" s="1">
        <v>45041</v>
      </c>
      <c r="E307" t="s">
        <v>24</v>
      </c>
      <c r="F307" t="s">
        <v>18</v>
      </c>
      <c r="G307">
        <v>343</v>
      </c>
      <c r="H307" s="3">
        <v>44.5</v>
      </c>
      <c r="I307" s="3">
        <v>38.57</v>
      </c>
      <c r="J307">
        <v>7</v>
      </c>
      <c r="K307" t="s">
        <v>15</v>
      </c>
      <c r="L307">
        <f t="shared" si="20"/>
        <v>14</v>
      </c>
      <c r="M307" s="3">
        <f>Table1[[#This Row],[Quantity]]*Table1[[#This Row],[Negotiated_Price]]</f>
        <v>13229.51</v>
      </c>
      <c r="N307" s="3">
        <f>Table1[[#This Row],[Quantity]]*Table1[[#This Row],[Unit_Price]]</f>
        <v>15263.5</v>
      </c>
      <c r="O307" s="3">
        <f>Table1[[#This Row],[ Original_Spend ]]-Table1[[#This Row],[ Total_Spend ]]</f>
        <v>2033.9899999999998</v>
      </c>
      <c r="P307" s="2">
        <f t="shared" si="21"/>
        <v>0.13325842696629212</v>
      </c>
      <c r="Q307" s="2">
        <f t="shared" si="22"/>
        <v>2.0408163265306121E-2</v>
      </c>
      <c r="R307" t="str">
        <f t="shared" si="23"/>
        <v>Late</v>
      </c>
      <c r="S307" t="str">
        <f t="shared" si="24"/>
        <v>OK</v>
      </c>
    </row>
    <row r="308" spans="1:19" x14ac:dyDescent="0.25">
      <c r="A308" t="s">
        <v>333</v>
      </c>
      <c r="B308" t="s">
        <v>20</v>
      </c>
      <c r="C308" s="1">
        <v>44854</v>
      </c>
      <c r="D308" s="1">
        <v>44870</v>
      </c>
      <c r="E308" t="s">
        <v>21</v>
      </c>
      <c r="F308" t="s">
        <v>18</v>
      </c>
      <c r="G308">
        <v>329</v>
      </c>
      <c r="H308" s="3">
        <v>97.87</v>
      </c>
      <c r="I308" s="3">
        <v>85.35</v>
      </c>
      <c r="J308">
        <v>21</v>
      </c>
      <c r="K308" t="s">
        <v>27</v>
      </c>
      <c r="L308">
        <f t="shared" si="20"/>
        <v>16</v>
      </c>
      <c r="M308" s="3">
        <f>Table1[[#This Row],[Quantity]]*Table1[[#This Row],[Negotiated_Price]]</f>
        <v>28080.149999999998</v>
      </c>
      <c r="N308" s="3">
        <f>Table1[[#This Row],[Quantity]]*Table1[[#This Row],[Unit_Price]]</f>
        <v>32199.230000000003</v>
      </c>
      <c r="O308" s="3">
        <f>Table1[[#This Row],[ Original_Spend ]]-Table1[[#This Row],[ Total_Spend ]]</f>
        <v>4119.0800000000054</v>
      </c>
      <c r="P308" s="2">
        <f t="shared" si="21"/>
        <v>0.12792479820169628</v>
      </c>
      <c r="Q308" s="2">
        <f t="shared" si="22"/>
        <v>6.3829787234042548E-2</v>
      </c>
      <c r="R308" t="str">
        <f t="shared" si="23"/>
        <v>Late</v>
      </c>
      <c r="S308" t="str">
        <f t="shared" si="24"/>
        <v>OK</v>
      </c>
    </row>
    <row r="309" spans="1:19" x14ac:dyDescent="0.25">
      <c r="A309" t="s">
        <v>334</v>
      </c>
      <c r="B309" t="s">
        <v>12</v>
      </c>
      <c r="C309" s="1">
        <v>44995</v>
      </c>
      <c r="D309" s="1">
        <v>45010</v>
      </c>
      <c r="E309" t="s">
        <v>39</v>
      </c>
      <c r="F309" t="s">
        <v>18</v>
      </c>
      <c r="G309">
        <v>1910</v>
      </c>
      <c r="H309" s="3">
        <v>90.69</v>
      </c>
      <c r="I309" s="3">
        <v>85.8</v>
      </c>
      <c r="K309" t="s">
        <v>15</v>
      </c>
      <c r="L309">
        <f t="shared" si="20"/>
        <v>15</v>
      </c>
      <c r="M309" s="3">
        <f>Table1[[#This Row],[Quantity]]*Table1[[#This Row],[Negotiated_Price]]</f>
        <v>163878</v>
      </c>
      <c r="N309" s="3">
        <f>Table1[[#This Row],[Quantity]]*Table1[[#This Row],[Unit_Price]]</f>
        <v>173217.9</v>
      </c>
      <c r="O309" s="3">
        <f>Table1[[#This Row],[ Original_Spend ]]-Table1[[#This Row],[ Total_Spend ]]</f>
        <v>9339.8999999999942</v>
      </c>
      <c r="P309" s="2">
        <f t="shared" si="21"/>
        <v>5.391994707244456E-2</v>
      </c>
      <c r="Q309" s="2">
        <f t="shared" si="22"/>
        <v>0</v>
      </c>
      <c r="R309" t="str">
        <f t="shared" si="23"/>
        <v>Late</v>
      </c>
      <c r="S309" t="str">
        <f t="shared" si="24"/>
        <v>OK</v>
      </c>
    </row>
    <row r="310" spans="1:19" x14ac:dyDescent="0.25">
      <c r="A310" t="s">
        <v>335</v>
      </c>
      <c r="B310" t="s">
        <v>29</v>
      </c>
      <c r="C310" s="1">
        <v>45275</v>
      </c>
      <c r="D310" s="1">
        <v>45278</v>
      </c>
      <c r="E310" t="s">
        <v>21</v>
      </c>
      <c r="F310" t="s">
        <v>18</v>
      </c>
      <c r="G310">
        <v>933</v>
      </c>
      <c r="H310" s="3">
        <v>107.99</v>
      </c>
      <c r="I310" s="3">
        <v>104.29</v>
      </c>
      <c r="J310">
        <v>29</v>
      </c>
      <c r="K310" t="s">
        <v>15</v>
      </c>
      <c r="L310">
        <f t="shared" si="20"/>
        <v>3</v>
      </c>
      <c r="M310" s="3">
        <f>Table1[[#This Row],[Quantity]]*Table1[[#This Row],[Negotiated_Price]]</f>
        <v>97302.57</v>
      </c>
      <c r="N310" s="3">
        <f>Table1[[#This Row],[Quantity]]*Table1[[#This Row],[Unit_Price]]</f>
        <v>100754.67</v>
      </c>
      <c r="O310" s="3">
        <f>Table1[[#This Row],[ Original_Spend ]]-Table1[[#This Row],[ Total_Spend ]]</f>
        <v>3452.0999999999913</v>
      </c>
      <c r="P310" s="2">
        <f t="shared" si="21"/>
        <v>3.4262431706639417E-2</v>
      </c>
      <c r="Q310" s="2">
        <f t="shared" si="22"/>
        <v>3.1082529474812434E-2</v>
      </c>
      <c r="R310" t="str">
        <f t="shared" si="23"/>
        <v>On Time</v>
      </c>
      <c r="S310" t="str">
        <f t="shared" si="24"/>
        <v>OK</v>
      </c>
    </row>
    <row r="311" spans="1:19" x14ac:dyDescent="0.25">
      <c r="A311" t="s">
        <v>336</v>
      </c>
      <c r="B311" t="s">
        <v>17</v>
      </c>
      <c r="C311" s="1">
        <v>45131</v>
      </c>
      <c r="D311" s="1">
        <v>45136</v>
      </c>
      <c r="E311" t="s">
        <v>26</v>
      </c>
      <c r="F311" t="s">
        <v>18</v>
      </c>
      <c r="G311">
        <v>1683</v>
      </c>
      <c r="H311" s="3">
        <v>23.09</v>
      </c>
      <c r="I311" s="3">
        <v>21.88</v>
      </c>
      <c r="J311">
        <v>253</v>
      </c>
      <c r="K311" t="s">
        <v>15</v>
      </c>
      <c r="L311">
        <f t="shared" si="20"/>
        <v>5</v>
      </c>
      <c r="M311" s="3">
        <f>Table1[[#This Row],[Quantity]]*Table1[[#This Row],[Negotiated_Price]]</f>
        <v>36824.04</v>
      </c>
      <c r="N311" s="3">
        <f>Table1[[#This Row],[Quantity]]*Table1[[#This Row],[Unit_Price]]</f>
        <v>38860.47</v>
      </c>
      <c r="O311" s="3">
        <f>Table1[[#This Row],[ Original_Spend ]]-Table1[[#This Row],[ Total_Spend ]]</f>
        <v>2036.4300000000003</v>
      </c>
      <c r="P311" s="2">
        <f t="shared" si="21"/>
        <v>5.2403637938501522E-2</v>
      </c>
      <c r="Q311" s="2">
        <f t="shared" si="22"/>
        <v>0.15032679738562091</v>
      </c>
      <c r="R311" t="str">
        <f t="shared" si="23"/>
        <v>On Time</v>
      </c>
      <c r="S311" t="str">
        <f t="shared" si="24"/>
        <v>OK</v>
      </c>
    </row>
    <row r="312" spans="1:19" x14ac:dyDescent="0.25">
      <c r="A312" t="s">
        <v>337</v>
      </c>
      <c r="B312" t="s">
        <v>23</v>
      </c>
      <c r="C312" s="1">
        <v>45239</v>
      </c>
      <c r="D312" s="1">
        <v>45248</v>
      </c>
      <c r="E312" t="s">
        <v>24</v>
      </c>
      <c r="F312" t="s">
        <v>35</v>
      </c>
      <c r="G312">
        <v>247</v>
      </c>
      <c r="H312" s="3">
        <v>84.11</v>
      </c>
      <c r="I312" s="3">
        <v>71.97</v>
      </c>
      <c r="K312" t="s">
        <v>15</v>
      </c>
      <c r="L312">
        <f t="shared" si="20"/>
        <v>9</v>
      </c>
      <c r="M312" s="3">
        <f>Table1[[#This Row],[Quantity]]*Table1[[#This Row],[Negotiated_Price]]</f>
        <v>17776.59</v>
      </c>
      <c r="N312" s="3">
        <f>Table1[[#This Row],[Quantity]]*Table1[[#This Row],[Unit_Price]]</f>
        <v>20775.169999999998</v>
      </c>
      <c r="O312" s="3">
        <f>Table1[[#This Row],[ Original_Spend ]]-Table1[[#This Row],[ Total_Spend ]]</f>
        <v>2998.5799999999981</v>
      </c>
      <c r="P312" s="2">
        <f t="shared" si="21"/>
        <v>0.14433479966710253</v>
      </c>
      <c r="Q312" s="2">
        <f t="shared" si="22"/>
        <v>0</v>
      </c>
      <c r="R312" t="str">
        <f t="shared" si="23"/>
        <v>Pending</v>
      </c>
      <c r="S312" t="str">
        <f t="shared" si="24"/>
        <v>Status-Date Conflict</v>
      </c>
    </row>
    <row r="313" spans="1:19" x14ac:dyDescent="0.25">
      <c r="A313" t="s">
        <v>338</v>
      </c>
      <c r="B313" t="s">
        <v>12</v>
      </c>
      <c r="C313" s="1">
        <v>45060</v>
      </c>
      <c r="D313" s="1">
        <v>45079</v>
      </c>
      <c r="E313" t="s">
        <v>21</v>
      </c>
      <c r="F313" t="s">
        <v>18</v>
      </c>
      <c r="G313">
        <v>1031</v>
      </c>
      <c r="H313" s="3">
        <v>102.01</v>
      </c>
      <c r="I313" s="3">
        <v>98.65</v>
      </c>
      <c r="K313" t="s">
        <v>15</v>
      </c>
      <c r="L313">
        <f t="shared" si="20"/>
        <v>19</v>
      </c>
      <c r="M313" s="3">
        <f>Table1[[#This Row],[Quantity]]*Table1[[#This Row],[Negotiated_Price]]</f>
        <v>101708.15000000001</v>
      </c>
      <c r="N313" s="3">
        <f>Table1[[#This Row],[Quantity]]*Table1[[#This Row],[Unit_Price]]</f>
        <v>105172.31000000001</v>
      </c>
      <c r="O313" s="3">
        <f>Table1[[#This Row],[ Original_Spend ]]-Table1[[#This Row],[ Total_Spend ]]</f>
        <v>3464.1600000000035</v>
      </c>
      <c r="P313" s="2">
        <f t="shared" si="21"/>
        <v>3.293794726007257E-2</v>
      </c>
      <c r="Q313" s="2">
        <f t="shared" si="22"/>
        <v>0</v>
      </c>
      <c r="R313" t="str">
        <f t="shared" si="23"/>
        <v>Late</v>
      </c>
      <c r="S313" t="str">
        <f t="shared" si="24"/>
        <v>OK</v>
      </c>
    </row>
    <row r="314" spans="1:19" x14ac:dyDescent="0.25">
      <c r="A314" t="s">
        <v>339</v>
      </c>
      <c r="B314" t="s">
        <v>12</v>
      </c>
      <c r="C314" s="1">
        <v>44720</v>
      </c>
      <c r="D314" s="1">
        <v>44731</v>
      </c>
      <c r="E314" t="s">
        <v>24</v>
      </c>
      <c r="F314" t="s">
        <v>18</v>
      </c>
      <c r="G314">
        <v>1980</v>
      </c>
      <c r="H314" s="3">
        <v>26.97</v>
      </c>
      <c r="I314" s="3">
        <v>24.16</v>
      </c>
      <c r="J314">
        <v>41</v>
      </c>
      <c r="K314" t="s">
        <v>15</v>
      </c>
      <c r="L314">
        <f t="shared" si="20"/>
        <v>11</v>
      </c>
      <c r="M314" s="3">
        <f>Table1[[#This Row],[Quantity]]*Table1[[#This Row],[Negotiated_Price]]</f>
        <v>47836.800000000003</v>
      </c>
      <c r="N314" s="3">
        <f>Table1[[#This Row],[Quantity]]*Table1[[#This Row],[Unit_Price]]</f>
        <v>53400.6</v>
      </c>
      <c r="O314" s="3">
        <f>Table1[[#This Row],[ Original_Spend ]]-Table1[[#This Row],[ Total_Spend ]]</f>
        <v>5563.7999999999956</v>
      </c>
      <c r="P314" s="2">
        <f t="shared" si="21"/>
        <v>0.1041898405635891</v>
      </c>
      <c r="Q314" s="2">
        <f t="shared" si="22"/>
        <v>2.0707070707070709E-2</v>
      </c>
      <c r="R314" t="str">
        <f t="shared" si="23"/>
        <v>Late</v>
      </c>
      <c r="S314" t="str">
        <f t="shared" si="24"/>
        <v>OK</v>
      </c>
    </row>
    <row r="315" spans="1:19" x14ac:dyDescent="0.25">
      <c r="A315" t="s">
        <v>340</v>
      </c>
      <c r="B315" t="s">
        <v>29</v>
      </c>
      <c r="C315" s="1">
        <v>44756</v>
      </c>
      <c r="D315" s="1">
        <v>44776</v>
      </c>
      <c r="E315" t="s">
        <v>26</v>
      </c>
      <c r="F315" t="s">
        <v>18</v>
      </c>
      <c r="G315">
        <v>1584</v>
      </c>
      <c r="H315" s="3">
        <v>16.46</v>
      </c>
      <c r="I315" s="3">
        <v>14.2</v>
      </c>
      <c r="J315">
        <v>57</v>
      </c>
      <c r="K315" t="s">
        <v>15</v>
      </c>
      <c r="L315">
        <f t="shared" si="20"/>
        <v>20</v>
      </c>
      <c r="M315" s="3">
        <f>Table1[[#This Row],[Quantity]]*Table1[[#This Row],[Negotiated_Price]]</f>
        <v>22492.799999999999</v>
      </c>
      <c r="N315" s="3">
        <f>Table1[[#This Row],[Quantity]]*Table1[[#This Row],[Unit_Price]]</f>
        <v>26072.640000000003</v>
      </c>
      <c r="O315" s="3">
        <f>Table1[[#This Row],[ Original_Spend ]]-Table1[[#This Row],[ Total_Spend ]]</f>
        <v>3579.8400000000038</v>
      </c>
      <c r="P315" s="2">
        <f t="shared" si="21"/>
        <v>0.13730255164034036</v>
      </c>
      <c r="Q315" s="2">
        <f t="shared" si="22"/>
        <v>3.5984848484848488E-2</v>
      </c>
      <c r="R315" t="str">
        <f t="shared" si="23"/>
        <v>Late</v>
      </c>
      <c r="S315" t="str">
        <f t="shared" si="24"/>
        <v>OK</v>
      </c>
    </row>
    <row r="316" spans="1:19" x14ac:dyDescent="0.25">
      <c r="A316" t="s">
        <v>341</v>
      </c>
      <c r="B316" t="s">
        <v>23</v>
      </c>
      <c r="C316" s="1">
        <v>44865</v>
      </c>
      <c r="D316" s="1">
        <v>44880</v>
      </c>
      <c r="E316" t="s">
        <v>13</v>
      </c>
      <c r="F316" t="s">
        <v>18</v>
      </c>
      <c r="G316">
        <v>801</v>
      </c>
      <c r="H316" s="3">
        <v>80.150000000000006</v>
      </c>
      <c r="I316" s="3">
        <v>70.91</v>
      </c>
      <c r="K316" t="s">
        <v>15</v>
      </c>
      <c r="L316">
        <f t="shared" si="20"/>
        <v>15</v>
      </c>
      <c r="M316" s="3">
        <f>Table1[[#This Row],[Quantity]]*Table1[[#This Row],[Negotiated_Price]]</f>
        <v>56798.909999999996</v>
      </c>
      <c r="N316" s="3">
        <f>Table1[[#This Row],[Quantity]]*Table1[[#This Row],[Unit_Price]]</f>
        <v>64200.15</v>
      </c>
      <c r="O316" s="3">
        <f>Table1[[#This Row],[ Original_Spend ]]-Table1[[#This Row],[ Total_Spend ]]</f>
        <v>7401.2400000000052</v>
      </c>
      <c r="P316" s="2">
        <f t="shared" si="21"/>
        <v>0.11528384279475991</v>
      </c>
      <c r="Q316" s="2">
        <f t="shared" si="22"/>
        <v>0</v>
      </c>
      <c r="R316" t="str">
        <f t="shared" si="23"/>
        <v>Late</v>
      </c>
      <c r="S316" t="str">
        <f t="shared" si="24"/>
        <v>OK</v>
      </c>
    </row>
    <row r="317" spans="1:19" x14ac:dyDescent="0.25">
      <c r="A317" t="s">
        <v>342</v>
      </c>
      <c r="B317" t="s">
        <v>23</v>
      </c>
      <c r="C317" s="1">
        <v>44784</v>
      </c>
      <c r="D317" s="1">
        <v>44798</v>
      </c>
      <c r="E317" t="s">
        <v>24</v>
      </c>
      <c r="F317" t="s">
        <v>18</v>
      </c>
      <c r="G317">
        <v>193</v>
      </c>
      <c r="H317" s="3">
        <v>63.86</v>
      </c>
      <c r="I317" s="3">
        <v>57.46</v>
      </c>
      <c r="K317" t="s">
        <v>15</v>
      </c>
      <c r="L317">
        <f t="shared" si="20"/>
        <v>14</v>
      </c>
      <c r="M317" s="3">
        <f>Table1[[#This Row],[Quantity]]*Table1[[#This Row],[Negotiated_Price]]</f>
        <v>11089.78</v>
      </c>
      <c r="N317" s="3">
        <f>Table1[[#This Row],[Quantity]]*Table1[[#This Row],[Unit_Price]]</f>
        <v>12324.98</v>
      </c>
      <c r="O317" s="3">
        <f>Table1[[#This Row],[ Original_Spend ]]-Table1[[#This Row],[ Total_Spend ]]</f>
        <v>1235.1999999999989</v>
      </c>
      <c r="P317" s="2">
        <f t="shared" si="21"/>
        <v>0.10021922956467263</v>
      </c>
      <c r="Q317" s="2">
        <f t="shared" si="22"/>
        <v>0</v>
      </c>
      <c r="R317" t="str">
        <f t="shared" si="23"/>
        <v>Late</v>
      </c>
      <c r="S317" t="str">
        <f t="shared" si="24"/>
        <v>OK</v>
      </c>
    </row>
    <row r="318" spans="1:19" x14ac:dyDescent="0.25">
      <c r="A318" t="s">
        <v>343</v>
      </c>
      <c r="B318" t="s">
        <v>23</v>
      </c>
      <c r="C318" s="1">
        <v>44621</v>
      </c>
      <c r="D318" s="1">
        <v>44625</v>
      </c>
      <c r="E318" t="s">
        <v>26</v>
      </c>
      <c r="F318" t="s">
        <v>18</v>
      </c>
      <c r="G318">
        <v>658</v>
      </c>
      <c r="H318" s="3">
        <v>86.62</v>
      </c>
      <c r="I318" s="3">
        <v>79.849999999999994</v>
      </c>
      <c r="J318">
        <v>72</v>
      </c>
      <c r="K318" t="s">
        <v>15</v>
      </c>
      <c r="L318">
        <f t="shared" si="20"/>
        <v>4</v>
      </c>
      <c r="M318" s="3">
        <f>Table1[[#This Row],[Quantity]]*Table1[[#This Row],[Negotiated_Price]]</f>
        <v>52541.299999999996</v>
      </c>
      <c r="N318" s="3">
        <f>Table1[[#This Row],[Quantity]]*Table1[[#This Row],[Unit_Price]]</f>
        <v>56995.960000000006</v>
      </c>
      <c r="O318" s="3">
        <f>Table1[[#This Row],[ Original_Spend ]]-Table1[[#This Row],[ Total_Spend ]]</f>
        <v>4454.6600000000108</v>
      </c>
      <c r="P318" s="2">
        <f t="shared" si="21"/>
        <v>7.815746940660373E-2</v>
      </c>
      <c r="Q318" s="2">
        <f t="shared" si="22"/>
        <v>0.10942249240121581</v>
      </c>
      <c r="R318" t="str">
        <f t="shared" si="23"/>
        <v>On Time</v>
      </c>
      <c r="S318" t="str">
        <f t="shared" si="24"/>
        <v>OK</v>
      </c>
    </row>
    <row r="319" spans="1:19" x14ac:dyDescent="0.25">
      <c r="A319" t="s">
        <v>344</v>
      </c>
      <c r="B319" t="s">
        <v>29</v>
      </c>
      <c r="C319" s="1">
        <v>45155</v>
      </c>
      <c r="D319" s="1">
        <v>45173</v>
      </c>
      <c r="E319" t="s">
        <v>39</v>
      </c>
      <c r="F319" t="s">
        <v>18</v>
      </c>
      <c r="G319">
        <v>1274</v>
      </c>
      <c r="H319" s="3">
        <v>24.72</v>
      </c>
      <c r="I319" s="3">
        <v>23.36</v>
      </c>
      <c r="J319">
        <v>37</v>
      </c>
      <c r="K319" t="s">
        <v>15</v>
      </c>
      <c r="L319">
        <f t="shared" si="20"/>
        <v>18</v>
      </c>
      <c r="M319" s="3">
        <f>Table1[[#This Row],[Quantity]]*Table1[[#This Row],[Negotiated_Price]]</f>
        <v>29760.639999999999</v>
      </c>
      <c r="N319" s="3">
        <f>Table1[[#This Row],[Quantity]]*Table1[[#This Row],[Unit_Price]]</f>
        <v>31493.279999999999</v>
      </c>
      <c r="O319" s="3">
        <f>Table1[[#This Row],[ Original_Spend ]]-Table1[[#This Row],[ Total_Spend ]]</f>
        <v>1732.6399999999994</v>
      </c>
      <c r="P319" s="2">
        <f t="shared" si="21"/>
        <v>5.5016181229773448E-2</v>
      </c>
      <c r="Q319" s="2">
        <f t="shared" si="22"/>
        <v>2.9042386185243328E-2</v>
      </c>
      <c r="R319" t="str">
        <f t="shared" si="23"/>
        <v>Late</v>
      </c>
      <c r="S319" t="str">
        <f t="shared" si="24"/>
        <v>OK</v>
      </c>
    </row>
    <row r="320" spans="1:19" x14ac:dyDescent="0.25">
      <c r="A320" t="s">
        <v>345</v>
      </c>
      <c r="B320" t="s">
        <v>29</v>
      </c>
      <c r="C320" s="1">
        <v>45117</v>
      </c>
      <c r="D320" s="1">
        <v>45124</v>
      </c>
      <c r="E320" t="s">
        <v>24</v>
      </c>
      <c r="F320" t="s">
        <v>33</v>
      </c>
      <c r="G320">
        <v>1197</v>
      </c>
      <c r="H320" s="3">
        <v>88.92</v>
      </c>
      <c r="I320" s="3">
        <v>78.819999999999993</v>
      </c>
      <c r="J320">
        <v>31</v>
      </c>
      <c r="K320" t="s">
        <v>15</v>
      </c>
      <c r="L320">
        <f t="shared" si="20"/>
        <v>7</v>
      </c>
      <c r="M320" s="3">
        <f>Table1[[#This Row],[Quantity]]*Table1[[#This Row],[Negotiated_Price]]</f>
        <v>94347.54</v>
      </c>
      <c r="N320" s="3">
        <f>Table1[[#This Row],[Quantity]]*Table1[[#This Row],[Unit_Price]]</f>
        <v>106437.24</v>
      </c>
      <c r="O320" s="3">
        <f>Table1[[#This Row],[ Original_Spend ]]-Table1[[#This Row],[ Total_Spend ]]</f>
        <v>12089.700000000012</v>
      </c>
      <c r="P320" s="2">
        <f t="shared" si="21"/>
        <v>0.11358524516419263</v>
      </c>
      <c r="Q320" s="2">
        <f t="shared" si="22"/>
        <v>2.5898078529657476E-2</v>
      </c>
      <c r="R320" t="str">
        <f t="shared" si="23"/>
        <v>Partially Delivered</v>
      </c>
      <c r="S320" t="str">
        <f t="shared" si="24"/>
        <v>Status-Date Conflict</v>
      </c>
    </row>
    <row r="321" spans="1:19" x14ac:dyDescent="0.25">
      <c r="A321" t="s">
        <v>346</v>
      </c>
      <c r="B321" t="s">
        <v>20</v>
      </c>
      <c r="C321" s="1">
        <v>44624</v>
      </c>
      <c r="D321" s="1">
        <v>44632</v>
      </c>
      <c r="E321" t="s">
        <v>39</v>
      </c>
      <c r="F321" t="s">
        <v>18</v>
      </c>
      <c r="G321">
        <v>236</v>
      </c>
      <c r="H321" s="3">
        <v>28.43</v>
      </c>
      <c r="I321" s="3">
        <v>28.11</v>
      </c>
      <c r="J321">
        <v>11</v>
      </c>
      <c r="K321" t="s">
        <v>15</v>
      </c>
      <c r="L321">
        <f t="shared" si="20"/>
        <v>8</v>
      </c>
      <c r="M321" s="3">
        <f>Table1[[#This Row],[Quantity]]*Table1[[#This Row],[Negotiated_Price]]</f>
        <v>6633.96</v>
      </c>
      <c r="N321" s="3">
        <f>Table1[[#This Row],[Quantity]]*Table1[[#This Row],[Unit_Price]]</f>
        <v>6709.48</v>
      </c>
      <c r="O321" s="3">
        <f>Table1[[#This Row],[ Original_Spend ]]-Table1[[#This Row],[ Total_Spend ]]</f>
        <v>75.519999999999527</v>
      </c>
      <c r="P321" s="2">
        <f t="shared" si="21"/>
        <v>1.1255715793176153E-2</v>
      </c>
      <c r="Q321" s="2">
        <f t="shared" si="22"/>
        <v>4.6610169491525424E-2</v>
      </c>
      <c r="R321" t="str">
        <f t="shared" si="23"/>
        <v>On Time</v>
      </c>
      <c r="S321" t="str">
        <f t="shared" si="24"/>
        <v>OK</v>
      </c>
    </row>
    <row r="322" spans="1:19" x14ac:dyDescent="0.25">
      <c r="A322" t="s">
        <v>347</v>
      </c>
      <c r="B322" t="s">
        <v>20</v>
      </c>
      <c r="C322" s="1">
        <v>44883</v>
      </c>
      <c r="D322" s="1">
        <v>44898</v>
      </c>
      <c r="E322" t="s">
        <v>26</v>
      </c>
      <c r="F322" t="s">
        <v>33</v>
      </c>
      <c r="G322">
        <v>1399</v>
      </c>
      <c r="H322" s="3">
        <v>25.97</v>
      </c>
      <c r="I322" s="3">
        <v>22.19</v>
      </c>
      <c r="J322">
        <v>62</v>
      </c>
      <c r="K322" t="s">
        <v>15</v>
      </c>
      <c r="L322">
        <f t="shared" ref="L322:L385" si="25">IF(OR(C322="",D322=""),"",D322-C322)</f>
        <v>15</v>
      </c>
      <c r="M322" s="3">
        <f>Table1[[#This Row],[Quantity]]*Table1[[#This Row],[Negotiated_Price]]</f>
        <v>31043.81</v>
      </c>
      <c r="N322" s="3">
        <f>Table1[[#This Row],[Quantity]]*Table1[[#This Row],[Unit_Price]]</f>
        <v>36332.03</v>
      </c>
      <c r="O322" s="3">
        <f>Table1[[#This Row],[ Original_Spend ]]-Table1[[#This Row],[ Total_Spend ]]</f>
        <v>5288.2199999999975</v>
      </c>
      <c r="P322" s="2">
        <f t="shared" ref="P322:P385" si="26">IFERROR(O322/N322,0)</f>
        <v>0.1455525606469002</v>
      </c>
      <c r="Q322" s="2">
        <f t="shared" ref="Q322:Q385" si="27">IFERROR(J322/G322,0)</f>
        <v>4.431736954967834E-2</v>
      </c>
      <c r="R322" t="str">
        <f t="shared" si="23"/>
        <v>Partially Delivered</v>
      </c>
      <c r="S322" t="str">
        <f t="shared" si="24"/>
        <v>Status-Date Conflict</v>
      </c>
    </row>
    <row r="323" spans="1:19" x14ac:dyDescent="0.25">
      <c r="A323" t="s">
        <v>348</v>
      </c>
      <c r="B323" t="s">
        <v>20</v>
      </c>
      <c r="C323" s="1">
        <v>44620</v>
      </c>
      <c r="D323" s="1">
        <v>44624</v>
      </c>
      <c r="E323" t="s">
        <v>39</v>
      </c>
      <c r="F323" t="s">
        <v>18</v>
      </c>
      <c r="G323">
        <v>513</v>
      </c>
      <c r="H323" s="3">
        <v>24.91</v>
      </c>
      <c r="I323" s="3">
        <v>22.58</v>
      </c>
      <c r="J323">
        <v>29</v>
      </c>
      <c r="K323" t="s">
        <v>15</v>
      </c>
      <c r="L323">
        <f t="shared" si="25"/>
        <v>4</v>
      </c>
      <c r="M323" s="3">
        <f>Table1[[#This Row],[Quantity]]*Table1[[#This Row],[Negotiated_Price]]</f>
        <v>11583.539999999999</v>
      </c>
      <c r="N323" s="3">
        <f>Table1[[#This Row],[Quantity]]*Table1[[#This Row],[Unit_Price]]</f>
        <v>12778.83</v>
      </c>
      <c r="O323" s="3">
        <f>Table1[[#This Row],[ Original_Spend ]]-Table1[[#This Row],[ Total_Spend ]]</f>
        <v>1195.2900000000009</v>
      </c>
      <c r="P323" s="2">
        <f t="shared" si="26"/>
        <v>9.3536732236049844E-2</v>
      </c>
      <c r="Q323" s="2">
        <f t="shared" si="27"/>
        <v>5.6530214424951264E-2</v>
      </c>
      <c r="R323" t="str">
        <f t="shared" ref="R323:R386" si="28">IF(F323&lt;&gt;"Delivered",F323,IF(D323="","Missing Delivery Date",IF(L323&lt;=10,"On Time","Late")))</f>
        <v>On Time</v>
      </c>
      <c r="S323" t="str">
        <f t="shared" ref="S323:S386" si="29">IF(AND(F323&lt;&gt;"Delivered",D323&lt;&gt;""),"Status-Date Conflict",IF(AND(F323="Delivered",D323=""),"Missing Delivery Date","OK"))</f>
        <v>OK</v>
      </c>
    </row>
    <row r="324" spans="1:19" x14ac:dyDescent="0.25">
      <c r="A324" t="s">
        <v>349</v>
      </c>
      <c r="B324" t="s">
        <v>17</v>
      </c>
      <c r="C324" s="1">
        <v>44613</v>
      </c>
      <c r="D324" s="1">
        <v>44624</v>
      </c>
      <c r="E324" t="s">
        <v>21</v>
      </c>
      <c r="F324" t="s">
        <v>18</v>
      </c>
      <c r="G324">
        <v>1422</v>
      </c>
      <c r="H324" s="3">
        <v>83.73</v>
      </c>
      <c r="I324" s="3">
        <v>76.47</v>
      </c>
      <c r="J324">
        <v>198</v>
      </c>
      <c r="K324" t="s">
        <v>15</v>
      </c>
      <c r="L324">
        <f t="shared" si="25"/>
        <v>11</v>
      </c>
      <c r="M324" s="3">
        <f>Table1[[#This Row],[Quantity]]*Table1[[#This Row],[Negotiated_Price]]</f>
        <v>108740.34</v>
      </c>
      <c r="N324" s="3">
        <f>Table1[[#This Row],[Quantity]]*Table1[[#This Row],[Unit_Price]]</f>
        <v>119064.06000000001</v>
      </c>
      <c r="O324" s="3">
        <f>Table1[[#This Row],[ Original_Spend ]]-Table1[[#This Row],[ Total_Spend ]]</f>
        <v>10323.720000000016</v>
      </c>
      <c r="P324" s="2">
        <f t="shared" si="26"/>
        <v>8.6707273378717434E-2</v>
      </c>
      <c r="Q324" s="2">
        <f t="shared" si="27"/>
        <v>0.13924050632911392</v>
      </c>
      <c r="R324" t="str">
        <f t="shared" si="28"/>
        <v>Late</v>
      </c>
      <c r="S324" t="str">
        <f t="shared" si="29"/>
        <v>OK</v>
      </c>
    </row>
    <row r="325" spans="1:19" x14ac:dyDescent="0.25">
      <c r="A325" t="s">
        <v>350</v>
      </c>
      <c r="B325" t="s">
        <v>12</v>
      </c>
      <c r="C325" s="1">
        <v>45160</v>
      </c>
      <c r="D325" s="1">
        <v>45172</v>
      </c>
      <c r="E325" t="s">
        <v>13</v>
      </c>
      <c r="F325" t="s">
        <v>18</v>
      </c>
      <c r="G325">
        <v>1844</v>
      </c>
      <c r="H325" s="3">
        <v>76.510000000000005</v>
      </c>
      <c r="I325" s="3">
        <v>73.05</v>
      </c>
      <c r="K325" t="s">
        <v>15</v>
      </c>
      <c r="L325">
        <f t="shared" si="25"/>
        <v>12</v>
      </c>
      <c r="M325" s="3">
        <f>Table1[[#This Row],[Quantity]]*Table1[[#This Row],[Negotiated_Price]]</f>
        <v>134704.19999999998</v>
      </c>
      <c r="N325" s="3">
        <f>Table1[[#This Row],[Quantity]]*Table1[[#This Row],[Unit_Price]]</f>
        <v>141084.44</v>
      </c>
      <c r="O325" s="3">
        <f>Table1[[#This Row],[ Original_Spend ]]-Table1[[#This Row],[ Total_Spend ]]</f>
        <v>6380.2400000000198</v>
      </c>
      <c r="P325" s="2">
        <f t="shared" si="26"/>
        <v>4.5222846686707757E-2</v>
      </c>
      <c r="Q325" s="2">
        <f t="shared" si="27"/>
        <v>0</v>
      </c>
      <c r="R325" t="str">
        <f t="shared" si="28"/>
        <v>Late</v>
      </c>
      <c r="S325" t="str">
        <f t="shared" si="29"/>
        <v>OK</v>
      </c>
    </row>
    <row r="326" spans="1:19" x14ac:dyDescent="0.25">
      <c r="A326" t="s">
        <v>351</v>
      </c>
      <c r="B326" t="s">
        <v>20</v>
      </c>
      <c r="C326" s="1">
        <v>45050</v>
      </c>
      <c r="E326" t="s">
        <v>39</v>
      </c>
      <c r="F326" t="s">
        <v>18</v>
      </c>
      <c r="G326">
        <v>709</v>
      </c>
      <c r="H326" s="3">
        <v>61.64</v>
      </c>
      <c r="I326" s="3">
        <v>54.55</v>
      </c>
      <c r="J326">
        <v>41</v>
      </c>
      <c r="K326" t="s">
        <v>15</v>
      </c>
      <c r="L326" t="str">
        <f t="shared" si="25"/>
        <v/>
      </c>
      <c r="M326" s="3">
        <f>Table1[[#This Row],[Quantity]]*Table1[[#This Row],[Negotiated_Price]]</f>
        <v>38675.949999999997</v>
      </c>
      <c r="N326" s="3">
        <f>Table1[[#This Row],[Quantity]]*Table1[[#This Row],[Unit_Price]]</f>
        <v>43702.76</v>
      </c>
      <c r="O326" s="3">
        <f>Table1[[#This Row],[ Original_Spend ]]-Table1[[#This Row],[ Total_Spend ]]</f>
        <v>5026.8100000000049</v>
      </c>
      <c r="P326" s="2">
        <f t="shared" si="26"/>
        <v>0.11502271252433495</v>
      </c>
      <c r="Q326" s="2">
        <f t="shared" si="27"/>
        <v>5.7827926657263752E-2</v>
      </c>
      <c r="R326" t="str">
        <f t="shared" si="28"/>
        <v>Missing Delivery Date</v>
      </c>
      <c r="S326" t="str">
        <f t="shared" si="29"/>
        <v>Missing Delivery Date</v>
      </c>
    </row>
    <row r="327" spans="1:19" x14ac:dyDescent="0.25">
      <c r="A327" t="s">
        <v>352</v>
      </c>
      <c r="B327" t="s">
        <v>17</v>
      </c>
      <c r="C327" s="1">
        <v>45076</v>
      </c>
      <c r="D327" s="1">
        <v>45092</v>
      </c>
      <c r="E327" t="s">
        <v>21</v>
      </c>
      <c r="F327" t="s">
        <v>18</v>
      </c>
      <c r="G327">
        <v>813</v>
      </c>
      <c r="H327" s="3">
        <v>45.68</v>
      </c>
      <c r="I327" s="3">
        <v>41.78</v>
      </c>
      <c r="K327" t="s">
        <v>27</v>
      </c>
      <c r="L327">
        <f t="shared" si="25"/>
        <v>16</v>
      </c>
      <c r="M327" s="3">
        <f>Table1[[#This Row],[Quantity]]*Table1[[#This Row],[Negotiated_Price]]</f>
        <v>33967.14</v>
      </c>
      <c r="N327" s="3">
        <f>Table1[[#This Row],[Quantity]]*Table1[[#This Row],[Unit_Price]]</f>
        <v>37137.839999999997</v>
      </c>
      <c r="O327" s="3">
        <f>Table1[[#This Row],[ Original_Spend ]]-Table1[[#This Row],[ Total_Spend ]]</f>
        <v>3170.6999999999971</v>
      </c>
      <c r="P327" s="2">
        <f t="shared" si="26"/>
        <v>8.5376532399299404E-2</v>
      </c>
      <c r="Q327" s="2">
        <f t="shared" si="27"/>
        <v>0</v>
      </c>
      <c r="R327" t="str">
        <f t="shared" si="28"/>
        <v>Late</v>
      </c>
      <c r="S327" t="str">
        <f t="shared" si="29"/>
        <v>OK</v>
      </c>
    </row>
    <row r="328" spans="1:19" x14ac:dyDescent="0.25">
      <c r="A328" t="s">
        <v>353</v>
      </c>
      <c r="B328" t="s">
        <v>17</v>
      </c>
      <c r="C328" s="1">
        <v>45105</v>
      </c>
      <c r="D328" s="1">
        <v>45108</v>
      </c>
      <c r="E328" t="s">
        <v>13</v>
      </c>
      <c r="F328" t="s">
        <v>18</v>
      </c>
      <c r="G328">
        <v>1004</v>
      </c>
      <c r="H328" s="3">
        <v>96.51</v>
      </c>
      <c r="I328" s="3">
        <v>92.9</v>
      </c>
      <c r="J328">
        <v>146</v>
      </c>
      <c r="K328" t="s">
        <v>27</v>
      </c>
      <c r="L328">
        <f t="shared" si="25"/>
        <v>3</v>
      </c>
      <c r="M328" s="3">
        <f>Table1[[#This Row],[Quantity]]*Table1[[#This Row],[Negotiated_Price]]</f>
        <v>93271.6</v>
      </c>
      <c r="N328" s="3">
        <f>Table1[[#This Row],[Quantity]]*Table1[[#This Row],[Unit_Price]]</f>
        <v>96896.040000000008</v>
      </c>
      <c r="O328" s="3">
        <f>Table1[[#This Row],[ Original_Spend ]]-Table1[[#This Row],[ Total_Spend ]]</f>
        <v>3624.4400000000023</v>
      </c>
      <c r="P328" s="2">
        <f t="shared" si="26"/>
        <v>3.740545021241324E-2</v>
      </c>
      <c r="Q328" s="2">
        <f t="shared" si="27"/>
        <v>0.1454183266932271</v>
      </c>
      <c r="R328" t="str">
        <f t="shared" si="28"/>
        <v>On Time</v>
      </c>
      <c r="S328" t="str">
        <f t="shared" si="29"/>
        <v>OK</v>
      </c>
    </row>
    <row r="329" spans="1:19" x14ac:dyDescent="0.25">
      <c r="A329" t="s">
        <v>354</v>
      </c>
      <c r="B329" t="s">
        <v>29</v>
      </c>
      <c r="C329" s="1">
        <v>44723</v>
      </c>
      <c r="D329" s="1">
        <v>44727</v>
      </c>
      <c r="E329" t="s">
        <v>26</v>
      </c>
      <c r="F329" t="s">
        <v>18</v>
      </c>
      <c r="G329">
        <v>452</v>
      </c>
      <c r="H329" s="3">
        <v>46.45</v>
      </c>
      <c r="I329" s="3">
        <v>40.39</v>
      </c>
      <c r="J329">
        <v>9</v>
      </c>
      <c r="K329" t="s">
        <v>15</v>
      </c>
      <c r="L329">
        <f t="shared" si="25"/>
        <v>4</v>
      </c>
      <c r="M329" s="3">
        <f>Table1[[#This Row],[Quantity]]*Table1[[#This Row],[Negotiated_Price]]</f>
        <v>18256.28</v>
      </c>
      <c r="N329" s="3">
        <f>Table1[[#This Row],[Quantity]]*Table1[[#This Row],[Unit_Price]]</f>
        <v>20995.4</v>
      </c>
      <c r="O329" s="3">
        <f>Table1[[#This Row],[ Original_Spend ]]-Table1[[#This Row],[ Total_Spend ]]</f>
        <v>2739.1200000000026</v>
      </c>
      <c r="P329" s="2">
        <f t="shared" si="26"/>
        <v>0.13046286329386447</v>
      </c>
      <c r="Q329" s="2">
        <f t="shared" si="27"/>
        <v>1.9911504424778761E-2</v>
      </c>
      <c r="R329" t="str">
        <f t="shared" si="28"/>
        <v>On Time</v>
      </c>
      <c r="S329" t="str">
        <f t="shared" si="29"/>
        <v>OK</v>
      </c>
    </row>
    <row r="330" spans="1:19" x14ac:dyDescent="0.25">
      <c r="A330" t="s">
        <v>355</v>
      </c>
      <c r="B330" t="s">
        <v>23</v>
      </c>
      <c r="C330" s="1">
        <v>44620</v>
      </c>
      <c r="D330" s="1">
        <v>44632</v>
      </c>
      <c r="E330" t="s">
        <v>26</v>
      </c>
      <c r="F330" t="s">
        <v>35</v>
      </c>
      <c r="G330">
        <v>1419</v>
      </c>
      <c r="H330" s="3">
        <v>83.91</v>
      </c>
      <c r="I330" s="3">
        <v>71.459999999999994</v>
      </c>
      <c r="J330">
        <v>137</v>
      </c>
      <c r="K330" t="s">
        <v>15</v>
      </c>
      <c r="L330">
        <f t="shared" si="25"/>
        <v>12</v>
      </c>
      <c r="M330" s="3">
        <f>Table1[[#This Row],[Quantity]]*Table1[[#This Row],[Negotiated_Price]]</f>
        <v>101401.73999999999</v>
      </c>
      <c r="N330" s="3">
        <f>Table1[[#This Row],[Quantity]]*Table1[[#This Row],[Unit_Price]]</f>
        <v>119068.29</v>
      </c>
      <c r="O330" s="3">
        <f>Table1[[#This Row],[ Original_Spend ]]-Table1[[#This Row],[ Total_Spend ]]</f>
        <v>17666.550000000003</v>
      </c>
      <c r="P330" s="2">
        <f t="shared" si="26"/>
        <v>0.14837325706113696</v>
      </c>
      <c r="Q330" s="2">
        <f t="shared" si="27"/>
        <v>9.654686398872446E-2</v>
      </c>
      <c r="R330" t="str">
        <f t="shared" si="28"/>
        <v>Pending</v>
      </c>
      <c r="S330" t="str">
        <f t="shared" si="29"/>
        <v>Status-Date Conflict</v>
      </c>
    </row>
    <row r="331" spans="1:19" x14ac:dyDescent="0.25">
      <c r="A331" t="s">
        <v>356</v>
      </c>
      <c r="B331" t="s">
        <v>23</v>
      </c>
      <c r="C331" s="1">
        <v>45082</v>
      </c>
      <c r="D331" s="1">
        <v>45100</v>
      </c>
      <c r="E331" t="s">
        <v>24</v>
      </c>
      <c r="F331" t="s">
        <v>18</v>
      </c>
      <c r="G331">
        <v>1584</v>
      </c>
      <c r="H331" s="3">
        <v>53.73</v>
      </c>
      <c r="I331" s="3">
        <v>51.92</v>
      </c>
      <c r="J331">
        <v>167</v>
      </c>
      <c r="K331" t="s">
        <v>27</v>
      </c>
      <c r="L331">
        <f t="shared" si="25"/>
        <v>18</v>
      </c>
      <c r="M331" s="3">
        <f>Table1[[#This Row],[Quantity]]*Table1[[#This Row],[Negotiated_Price]]</f>
        <v>82241.279999999999</v>
      </c>
      <c r="N331" s="3">
        <f>Table1[[#This Row],[Quantity]]*Table1[[#This Row],[Unit_Price]]</f>
        <v>85108.319999999992</v>
      </c>
      <c r="O331" s="3">
        <f>Table1[[#This Row],[ Original_Spend ]]-Table1[[#This Row],[ Total_Spend ]]</f>
        <v>2867.0399999999936</v>
      </c>
      <c r="P331" s="2">
        <f t="shared" si="26"/>
        <v>3.3686953284943165E-2</v>
      </c>
      <c r="Q331" s="2">
        <f t="shared" si="27"/>
        <v>0.10542929292929293</v>
      </c>
      <c r="R331" t="str">
        <f t="shared" si="28"/>
        <v>Late</v>
      </c>
      <c r="S331" t="str">
        <f t="shared" si="29"/>
        <v>OK</v>
      </c>
    </row>
    <row r="332" spans="1:19" x14ac:dyDescent="0.25">
      <c r="A332" t="s">
        <v>357</v>
      </c>
      <c r="B332" t="s">
        <v>20</v>
      </c>
      <c r="C332" s="1">
        <v>44644</v>
      </c>
      <c r="D332" s="1">
        <v>44662</v>
      </c>
      <c r="E332" t="s">
        <v>21</v>
      </c>
      <c r="F332" t="s">
        <v>35</v>
      </c>
      <c r="G332">
        <v>196</v>
      </c>
      <c r="H332" s="3">
        <v>44.36</v>
      </c>
      <c r="I332" s="3">
        <v>43.81</v>
      </c>
      <c r="J332">
        <v>6</v>
      </c>
      <c r="K332" t="s">
        <v>15</v>
      </c>
      <c r="L332">
        <f t="shared" si="25"/>
        <v>18</v>
      </c>
      <c r="M332" s="3">
        <f>Table1[[#This Row],[Quantity]]*Table1[[#This Row],[Negotiated_Price]]</f>
        <v>8586.76</v>
      </c>
      <c r="N332" s="3">
        <f>Table1[[#This Row],[Quantity]]*Table1[[#This Row],[Unit_Price]]</f>
        <v>8694.56</v>
      </c>
      <c r="O332" s="3">
        <f>Table1[[#This Row],[ Original_Spend ]]-Table1[[#This Row],[ Total_Spend ]]</f>
        <v>107.79999999999927</v>
      </c>
      <c r="P332" s="2">
        <f t="shared" si="26"/>
        <v>1.2398557258791621E-2</v>
      </c>
      <c r="Q332" s="2">
        <f t="shared" si="27"/>
        <v>3.0612244897959183E-2</v>
      </c>
      <c r="R332" t="str">
        <f t="shared" si="28"/>
        <v>Pending</v>
      </c>
      <c r="S332" t="str">
        <f t="shared" si="29"/>
        <v>Status-Date Conflict</v>
      </c>
    </row>
    <row r="333" spans="1:19" x14ac:dyDescent="0.25">
      <c r="A333" t="s">
        <v>358</v>
      </c>
      <c r="B333" t="s">
        <v>12</v>
      </c>
      <c r="C333" s="1">
        <v>44752</v>
      </c>
      <c r="D333" s="1">
        <v>44756</v>
      </c>
      <c r="E333" t="s">
        <v>13</v>
      </c>
      <c r="F333" t="s">
        <v>18</v>
      </c>
      <c r="G333">
        <v>1221</v>
      </c>
      <c r="H333" s="3">
        <v>53.19</v>
      </c>
      <c r="I333" s="3">
        <v>46.18</v>
      </c>
      <c r="J333">
        <v>29</v>
      </c>
      <c r="K333" t="s">
        <v>15</v>
      </c>
      <c r="L333">
        <f t="shared" si="25"/>
        <v>4</v>
      </c>
      <c r="M333" s="3">
        <f>Table1[[#This Row],[Quantity]]*Table1[[#This Row],[Negotiated_Price]]</f>
        <v>56385.78</v>
      </c>
      <c r="N333" s="3">
        <f>Table1[[#This Row],[Quantity]]*Table1[[#This Row],[Unit_Price]]</f>
        <v>64944.99</v>
      </c>
      <c r="O333" s="3">
        <f>Table1[[#This Row],[ Original_Spend ]]-Table1[[#This Row],[ Total_Spend ]]</f>
        <v>8559.2099999999991</v>
      </c>
      <c r="P333" s="2">
        <f t="shared" si="26"/>
        <v>0.13179169016732467</v>
      </c>
      <c r="Q333" s="2">
        <f t="shared" si="27"/>
        <v>2.375102375102375E-2</v>
      </c>
      <c r="R333" t="str">
        <f t="shared" si="28"/>
        <v>On Time</v>
      </c>
      <c r="S333" t="str">
        <f t="shared" si="29"/>
        <v>OK</v>
      </c>
    </row>
    <row r="334" spans="1:19" x14ac:dyDescent="0.25">
      <c r="A334" t="s">
        <v>359</v>
      </c>
      <c r="B334" t="s">
        <v>12</v>
      </c>
      <c r="C334" s="1">
        <v>44632</v>
      </c>
      <c r="D334" s="1">
        <v>44646</v>
      </c>
      <c r="E334" t="s">
        <v>24</v>
      </c>
      <c r="F334" t="s">
        <v>18</v>
      </c>
      <c r="G334">
        <v>913</v>
      </c>
      <c r="H334" s="3">
        <v>37.5</v>
      </c>
      <c r="I334" s="3">
        <v>36.200000000000003</v>
      </c>
      <c r="K334" t="s">
        <v>15</v>
      </c>
      <c r="L334">
        <f t="shared" si="25"/>
        <v>14</v>
      </c>
      <c r="M334" s="3">
        <f>Table1[[#This Row],[Quantity]]*Table1[[#This Row],[Negotiated_Price]]</f>
        <v>33050.600000000006</v>
      </c>
      <c r="N334" s="3">
        <f>Table1[[#This Row],[Quantity]]*Table1[[#This Row],[Unit_Price]]</f>
        <v>34237.5</v>
      </c>
      <c r="O334" s="3">
        <f>Table1[[#This Row],[ Original_Spend ]]-Table1[[#This Row],[ Total_Spend ]]</f>
        <v>1186.8999999999942</v>
      </c>
      <c r="P334" s="2">
        <f t="shared" si="26"/>
        <v>3.4666666666666499E-2</v>
      </c>
      <c r="Q334" s="2">
        <f t="shared" si="27"/>
        <v>0</v>
      </c>
      <c r="R334" t="str">
        <f t="shared" si="28"/>
        <v>Late</v>
      </c>
      <c r="S334" t="str">
        <f t="shared" si="29"/>
        <v>OK</v>
      </c>
    </row>
    <row r="335" spans="1:19" x14ac:dyDescent="0.25">
      <c r="A335" t="s">
        <v>360</v>
      </c>
      <c r="B335" t="s">
        <v>12</v>
      </c>
      <c r="C335" s="1">
        <v>45171</v>
      </c>
      <c r="D335" s="1">
        <v>45173</v>
      </c>
      <c r="E335" t="s">
        <v>24</v>
      </c>
      <c r="F335" t="s">
        <v>18</v>
      </c>
      <c r="G335">
        <v>1784</v>
      </c>
      <c r="H335" s="3">
        <v>85.01</v>
      </c>
      <c r="I335" s="3">
        <v>76.69</v>
      </c>
      <c r="J335">
        <v>37</v>
      </c>
      <c r="K335" t="s">
        <v>15</v>
      </c>
      <c r="L335">
        <f t="shared" si="25"/>
        <v>2</v>
      </c>
      <c r="M335" s="3">
        <f>Table1[[#This Row],[Quantity]]*Table1[[#This Row],[Negotiated_Price]]</f>
        <v>136814.96</v>
      </c>
      <c r="N335" s="3">
        <f>Table1[[#This Row],[Quantity]]*Table1[[#This Row],[Unit_Price]]</f>
        <v>151657.84</v>
      </c>
      <c r="O335" s="3">
        <f>Table1[[#This Row],[ Original_Spend ]]-Table1[[#This Row],[ Total_Spend ]]</f>
        <v>14842.880000000005</v>
      </c>
      <c r="P335" s="2">
        <f t="shared" si="26"/>
        <v>9.7870838724855927E-2</v>
      </c>
      <c r="Q335" s="2">
        <f t="shared" si="27"/>
        <v>2.0739910313901346E-2</v>
      </c>
      <c r="R335" t="str">
        <f t="shared" si="28"/>
        <v>On Time</v>
      </c>
      <c r="S335" t="str">
        <f t="shared" si="29"/>
        <v>OK</v>
      </c>
    </row>
    <row r="336" spans="1:19" x14ac:dyDescent="0.25">
      <c r="A336" t="s">
        <v>361</v>
      </c>
      <c r="B336" t="s">
        <v>17</v>
      </c>
      <c r="C336" s="1">
        <v>44631</v>
      </c>
      <c r="E336" t="s">
        <v>26</v>
      </c>
      <c r="F336" t="s">
        <v>18</v>
      </c>
      <c r="G336">
        <v>1893</v>
      </c>
      <c r="H336" s="3">
        <v>55.8</v>
      </c>
      <c r="I336" s="3">
        <v>52.35</v>
      </c>
      <c r="K336" t="s">
        <v>15</v>
      </c>
      <c r="L336" t="str">
        <f t="shared" si="25"/>
        <v/>
      </c>
      <c r="M336" s="3">
        <f>Table1[[#This Row],[Quantity]]*Table1[[#This Row],[Negotiated_Price]]</f>
        <v>99098.55</v>
      </c>
      <c r="N336" s="3">
        <f>Table1[[#This Row],[Quantity]]*Table1[[#This Row],[Unit_Price]]</f>
        <v>105629.4</v>
      </c>
      <c r="O336" s="3">
        <f>Table1[[#This Row],[ Original_Spend ]]-Table1[[#This Row],[ Total_Spend ]]</f>
        <v>6530.8499999999913</v>
      </c>
      <c r="P336" s="2">
        <f t="shared" si="26"/>
        <v>6.1827956989247229E-2</v>
      </c>
      <c r="Q336" s="2">
        <f t="shared" si="27"/>
        <v>0</v>
      </c>
      <c r="R336" t="str">
        <f t="shared" si="28"/>
        <v>Missing Delivery Date</v>
      </c>
      <c r="S336" t="str">
        <f t="shared" si="29"/>
        <v>Missing Delivery Date</v>
      </c>
    </row>
    <row r="337" spans="1:19" x14ac:dyDescent="0.25">
      <c r="A337" t="s">
        <v>362</v>
      </c>
      <c r="B337" t="s">
        <v>17</v>
      </c>
      <c r="C337" s="1">
        <v>45253</v>
      </c>
      <c r="D337" s="1">
        <v>45265</v>
      </c>
      <c r="E337" t="s">
        <v>39</v>
      </c>
      <c r="F337" t="s">
        <v>35</v>
      </c>
      <c r="G337">
        <v>538</v>
      </c>
      <c r="H337" s="3">
        <v>34.299999999999997</v>
      </c>
      <c r="I337" s="3">
        <v>32.25</v>
      </c>
      <c r="J337">
        <v>84</v>
      </c>
      <c r="K337" t="s">
        <v>27</v>
      </c>
      <c r="L337">
        <f t="shared" si="25"/>
        <v>12</v>
      </c>
      <c r="M337" s="3">
        <f>Table1[[#This Row],[Quantity]]*Table1[[#This Row],[Negotiated_Price]]</f>
        <v>17350.5</v>
      </c>
      <c r="N337" s="3">
        <f>Table1[[#This Row],[Quantity]]*Table1[[#This Row],[Unit_Price]]</f>
        <v>18453.399999999998</v>
      </c>
      <c r="O337" s="3">
        <f>Table1[[#This Row],[ Original_Spend ]]-Table1[[#This Row],[ Total_Spend ]]</f>
        <v>1102.8999999999978</v>
      </c>
      <c r="P337" s="2">
        <f t="shared" si="26"/>
        <v>5.9766763848396388E-2</v>
      </c>
      <c r="Q337" s="2">
        <f t="shared" si="27"/>
        <v>0.15613382899628253</v>
      </c>
      <c r="R337" t="str">
        <f t="shared" si="28"/>
        <v>Pending</v>
      </c>
      <c r="S337" t="str">
        <f t="shared" si="29"/>
        <v>Status-Date Conflict</v>
      </c>
    </row>
    <row r="338" spans="1:19" x14ac:dyDescent="0.25">
      <c r="A338" t="s">
        <v>363</v>
      </c>
      <c r="B338" t="s">
        <v>17</v>
      </c>
      <c r="C338" s="1">
        <v>44802</v>
      </c>
      <c r="D338" s="1">
        <v>44819</v>
      </c>
      <c r="E338" t="s">
        <v>13</v>
      </c>
      <c r="F338" t="s">
        <v>35</v>
      </c>
      <c r="G338">
        <v>978</v>
      </c>
      <c r="H338" s="3">
        <v>94.15</v>
      </c>
      <c r="I338" s="3">
        <v>87.7</v>
      </c>
      <c r="J338">
        <v>149</v>
      </c>
      <c r="K338" t="s">
        <v>27</v>
      </c>
      <c r="L338">
        <f t="shared" si="25"/>
        <v>17</v>
      </c>
      <c r="M338" s="3">
        <f>Table1[[#This Row],[Quantity]]*Table1[[#This Row],[Negotiated_Price]]</f>
        <v>85770.6</v>
      </c>
      <c r="N338" s="3">
        <f>Table1[[#This Row],[Quantity]]*Table1[[#This Row],[Unit_Price]]</f>
        <v>92078.700000000012</v>
      </c>
      <c r="O338" s="3">
        <f>Table1[[#This Row],[ Original_Spend ]]-Table1[[#This Row],[ Total_Spend ]]</f>
        <v>6308.1000000000058</v>
      </c>
      <c r="P338" s="2">
        <f t="shared" si="26"/>
        <v>6.8507700477960759E-2</v>
      </c>
      <c r="Q338" s="2">
        <f t="shared" si="27"/>
        <v>0.15235173824130879</v>
      </c>
      <c r="R338" t="str">
        <f t="shared" si="28"/>
        <v>Pending</v>
      </c>
      <c r="S338" t="str">
        <f t="shared" si="29"/>
        <v>Status-Date Conflict</v>
      </c>
    </row>
    <row r="339" spans="1:19" x14ac:dyDescent="0.25">
      <c r="A339" t="s">
        <v>364</v>
      </c>
      <c r="B339" t="s">
        <v>29</v>
      </c>
      <c r="C339" s="1">
        <v>44975</v>
      </c>
      <c r="D339" s="1">
        <v>44991</v>
      </c>
      <c r="E339" t="s">
        <v>26</v>
      </c>
      <c r="F339" t="s">
        <v>14</v>
      </c>
      <c r="G339">
        <v>1713</v>
      </c>
      <c r="H339" s="3">
        <v>47.45</v>
      </c>
      <c r="I339" s="3">
        <v>42.05</v>
      </c>
      <c r="J339">
        <v>53</v>
      </c>
      <c r="K339" t="s">
        <v>15</v>
      </c>
      <c r="L339">
        <f t="shared" si="25"/>
        <v>16</v>
      </c>
      <c r="M339" s="3">
        <f>Table1[[#This Row],[Quantity]]*Table1[[#This Row],[Negotiated_Price]]</f>
        <v>72031.649999999994</v>
      </c>
      <c r="N339" s="3">
        <f>Table1[[#This Row],[Quantity]]*Table1[[#This Row],[Unit_Price]]</f>
        <v>81281.850000000006</v>
      </c>
      <c r="O339" s="3">
        <f>Table1[[#This Row],[ Original_Spend ]]-Table1[[#This Row],[ Total_Spend ]]</f>
        <v>9250.2000000000116</v>
      </c>
      <c r="P339" s="2">
        <f t="shared" si="26"/>
        <v>0.11380400421496326</v>
      </c>
      <c r="Q339" s="2">
        <f t="shared" si="27"/>
        <v>3.0939871570344425E-2</v>
      </c>
      <c r="R339" t="str">
        <f t="shared" si="28"/>
        <v>Cancelled</v>
      </c>
      <c r="S339" t="str">
        <f t="shared" si="29"/>
        <v>Status-Date Conflict</v>
      </c>
    </row>
    <row r="340" spans="1:19" x14ac:dyDescent="0.25">
      <c r="A340" t="s">
        <v>365</v>
      </c>
      <c r="B340" t="s">
        <v>17</v>
      </c>
      <c r="C340" s="1">
        <v>44684</v>
      </c>
      <c r="D340" s="1">
        <v>44688</v>
      </c>
      <c r="E340" t="s">
        <v>26</v>
      </c>
      <c r="F340" t="s">
        <v>35</v>
      </c>
      <c r="G340">
        <v>600</v>
      </c>
      <c r="H340" s="3">
        <v>60.1</v>
      </c>
      <c r="I340" s="3">
        <v>57.92</v>
      </c>
      <c r="J340">
        <v>95</v>
      </c>
      <c r="K340" t="s">
        <v>27</v>
      </c>
      <c r="L340">
        <f t="shared" si="25"/>
        <v>4</v>
      </c>
      <c r="M340" s="3">
        <f>Table1[[#This Row],[Quantity]]*Table1[[#This Row],[Negotiated_Price]]</f>
        <v>34752</v>
      </c>
      <c r="N340" s="3">
        <f>Table1[[#This Row],[Quantity]]*Table1[[#This Row],[Unit_Price]]</f>
        <v>36060</v>
      </c>
      <c r="O340" s="3">
        <f>Table1[[#This Row],[ Original_Spend ]]-Table1[[#This Row],[ Total_Spend ]]</f>
        <v>1308</v>
      </c>
      <c r="P340" s="2">
        <f t="shared" si="26"/>
        <v>3.6272878535773712E-2</v>
      </c>
      <c r="Q340" s="2">
        <f t="shared" si="27"/>
        <v>0.15833333333333333</v>
      </c>
      <c r="R340" t="str">
        <f t="shared" si="28"/>
        <v>Pending</v>
      </c>
      <c r="S340" t="str">
        <f t="shared" si="29"/>
        <v>Status-Date Conflict</v>
      </c>
    </row>
    <row r="341" spans="1:19" x14ac:dyDescent="0.25">
      <c r="A341" t="s">
        <v>366</v>
      </c>
      <c r="B341" t="s">
        <v>12</v>
      </c>
      <c r="C341" s="1">
        <v>45145</v>
      </c>
      <c r="D341" s="1">
        <v>45163</v>
      </c>
      <c r="E341" t="s">
        <v>39</v>
      </c>
      <c r="F341" t="s">
        <v>35</v>
      </c>
      <c r="G341">
        <v>387</v>
      </c>
      <c r="H341" s="3">
        <v>100.28</v>
      </c>
      <c r="I341" s="3">
        <v>85.54</v>
      </c>
      <c r="J341">
        <v>5</v>
      </c>
      <c r="K341" t="s">
        <v>15</v>
      </c>
      <c r="L341">
        <f t="shared" si="25"/>
        <v>18</v>
      </c>
      <c r="M341" s="3">
        <f>Table1[[#This Row],[Quantity]]*Table1[[#This Row],[Negotiated_Price]]</f>
        <v>33103.980000000003</v>
      </c>
      <c r="N341" s="3">
        <f>Table1[[#This Row],[Quantity]]*Table1[[#This Row],[Unit_Price]]</f>
        <v>38808.36</v>
      </c>
      <c r="O341" s="3">
        <f>Table1[[#This Row],[ Original_Spend ]]-Table1[[#This Row],[ Total_Spend ]]</f>
        <v>5704.3799999999974</v>
      </c>
      <c r="P341" s="2">
        <f t="shared" si="26"/>
        <v>0.14698843238930986</v>
      </c>
      <c r="Q341" s="2">
        <f t="shared" si="27"/>
        <v>1.2919896640826873E-2</v>
      </c>
      <c r="R341" t="str">
        <f t="shared" si="28"/>
        <v>Pending</v>
      </c>
      <c r="S341" t="str">
        <f t="shared" si="29"/>
        <v>Status-Date Conflict</v>
      </c>
    </row>
    <row r="342" spans="1:19" x14ac:dyDescent="0.25">
      <c r="A342" t="s">
        <v>367</v>
      </c>
      <c r="B342" t="s">
        <v>12</v>
      </c>
      <c r="C342" s="1">
        <v>44814</v>
      </c>
      <c r="D342" s="1">
        <v>44823</v>
      </c>
      <c r="E342" t="s">
        <v>21</v>
      </c>
      <c r="F342" t="s">
        <v>35</v>
      </c>
      <c r="G342">
        <v>921</v>
      </c>
      <c r="H342" s="3">
        <v>68.83</v>
      </c>
      <c r="I342" s="3">
        <v>59.13</v>
      </c>
      <c r="J342">
        <v>22</v>
      </c>
      <c r="K342" t="s">
        <v>15</v>
      </c>
      <c r="L342">
        <f t="shared" si="25"/>
        <v>9</v>
      </c>
      <c r="M342" s="3">
        <f>Table1[[#This Row],[Quantity]]*Table1[[#This Row],[Negotiated_Price]]</f>
        <v>54458.73</v>
      </c>
      <c r="N342" s="3">
        <f>Table1[[#This Row],[Quantity]]*Table1[[#This Row],[Unit_Price]]</f>
        <v>63392.43</v>
      </c>
      <c r="O342" s="3">
        <f>Table1[[#This Row],[ Original_Spend ]]-Table1[[#This Row],[ Total_Spend ]]</f>
        <v>8933.6999999999971</v>
      </c>
      <c r="P342" s="2">
        <f t="shared" si="26"/>
        <v>0.14092692140055205</v>
      </c>
      <c r="Q342" s="2">
        <f t="shared" si="27"/>
        <v>2.3887079261672096E-2</v>
      </c>
      <c r="R342" t="str">
        <f t="shared" si="28"/>
        <v>Pending</v>
      </c>
      <c r="S342" t="str">
        <f t="shared" si="29"/>
        <v>Status-Date Conflict</v>
      </c>
    </row>
    <row r="343" spans="1:19" x14ac:dyDescent="0.25">
      <c r="A343" t="s">
        <v>368</v>
      </c>
      <c r="B343" t="s">
        <v>23</v>
      </c>
      <c r="C343" s="1">
        <v>45154</v>
      </c>
      <c r="D343" s="1">
        <v>45168</v>
      </c>
      <c r="E343" t="s">
        <v>21</v>
      </c>
      <c r="F343" t="s">
        <v>18</v>
      </c>
      <c r="G343">
        <v>690</v>
      </c>
      <c r="H343" s="3">
        <v>22.47</v>
      </c>
      <c r="I343" s="3">
        <v>21.94</v>
      </c>
      <c r="J343">
        <v>77</v>
      </c>
      <c r="K343" t="s">
        <v>15</v>
      </c>
      <c r="L343">
        <f t="shared" si="25"/>
        <v>14</v>
      </c>
      <c r="M343" s="3">
        <f>Table1[[#This Row],[Quantity]]*Table1[[#This Row],[Negotiated_Price]]</f>
        <v>15138.6</v>
      </c>
      <c r="N343" s="3">
        <f>Table1[[#This Row],[Quantity]]*Table1[[#This Row],[Unit_Price]]</f>
        <v>15504.3</v>
      </c>
      <c r="O343" s="3">
        <f>Table1[[#This Row],[ Original_Spend ]]-Table1[[#This Row],[ Total_Spend ]]</f>
        <v>365.69999999999891</v>
      </c>
      <c r="P343" s="2">
        <f t="shared" si="26"/>
        <v>2.3587004895416042E-2</v>
      </c>
      <c r="Q343" s="2">
        <f t="shared" si="27"/>
        <v>0.11159420289855072</v>
      </c>
      <c r="R343" t="str">
        <f t="shared" si="28"/>
        <v>Late</v>
      </c>
      <c r="S343" t="str">
        <f t="shared" si="29"/>
        <v>OK</v>
      </c>
    </row>
    <row r="344" spans="1:19" x14ac:dyDescent="0.25">
      <c r="A344" t="s">
        <v>369</v>
      </c>
      <c r="B344" t="s">
        <v>12</v>
      </c>
      <c r="C344" s="1">
        <v>45170</v>
      </c>
      <c r="D344" s="1">
        <v>45190</v>
      </c>
      <c r="E344" t="s">
        <v>13</v>
      </c>
      <c r="F344" t="s">
        <v>14</v>
      </c>
      <c r="G344">
        <v>1852</v>
      </c>
      <c r="H344" s="3">
        <v>104.04</v>
      </c>
      <c r="I344" s="3">
        <v>94.89</v>
      </c>
      <c r="J344">
        <v>36</v>
      </c>
      <c r="K344" t="s">
        <v>15</v>
      </c>
      <c r="L344">
        <f t="shared" si="25"/>
        <v>20</v>
      </c>
      <c r="M344" s="3">
        <f>Table1[[#This Row],[Quantity]]*Table1[[#This Row],[Negotiated_Price]]</f>
        <v>175736.28</v>
      </c>
      <c r="N344" s="3">
        <f>Table1[[#This Row],[Quantity]]*Table1[[#This Row],[Unit_Price]]</f>
        <v>192682.08000000002</v>
      </c>
      <c r="O344" s="3">
        <f>Table1[[#This Row],[ Original_Spend ]]-Table1[[#This Row],[ Total_Spend ]]</f>
        <v>16945.800000000017</v>
      </c>
      <c r="P344" s="2">
        <f t="shared" si="26"/>
        <v>8.7946943483275752E-2</v>
      </c>
      <c r="Q344" s="2">
        <f t="shared" si="27"/>
        <v>1.9438444924406047E-2</v>
      </c>
      <c r="R344" t="str">
        <f t="shared" si="28"/>
        <v>Cancelled</v>
      </c>
      <c r="S344" t="str">
        <f t="shared" si="29"/>
        <v>Status-Date Conflict</v>
      </c>
    </row>
    <row r="345" spans="1:19" x14ac:dyDescent="0.25">
      <c r="A345" t="s">
        <v>370</v>
      </c>
      <c r="B345" t="s">
        <v>17</v>
      </c>
      <c r="C345" s="1">
        <v>44602</v>
      </c>
      <c r="D345" s="1">
        <v>44620</v>
      </c>
      <c r="E345" t="s">
        <v>39</v>
      </c>
      <c r="F345" t="s">
        <v>18</v>
      </c>
      <c r="G345">
        <v>522</v>
      </c>
      <c r="H345" s="3">
        <v>66.83</v>
      </c>
      <c r="I345" s="3">
        <v>58.01</v>
      </c>
      <c r="J345">
        <v>74</v>
      </c>
      <c r="K345" t="s">
        <v>15</v>
      </c>
      <c r="L345">
        <f t="shared" si="25"/>
        <v>18</v>
      </c>
      <c r="M345" s="3">
        <f>Table1[[#This Row],[Quantity]]*Table1[[#This Row],[Negotiated_Price]]</f>
        <v>30281.219999999998</v>
      </c>
      <c r="N345" s="3">
        <f>Table1[[#This Row],[Quantity]]*Table1[[#This Row],[Unit_Price]]</f>
        <v>34885.26</v>
      </c>
      <c r="O345" s="3">
        <f>Table1[[#This Row],[ Original_Spend ]]-Table1[[#This Row],[ Total_Spend ]]</f>
        <v>4604.0400000000045</v>
      </c>
      <c r="P345" s="2">
        <f t="shared" si="26"/>
        <v>0.13197665718988491</v>
      </c>
      <c r="Q345" s="2">
        <f t="shared" si="27"/>
        <v>0.1417624521072797</v>
      </c>
      <c r="R345" t="str">
        <f t="shared" si="28"/>
        <v>Late</v>
      </c>
      <c r="S345" t="str">
        <f t="shared" si="29"/>
        <v>OK</v>
      </c>
    </row>
    <row r="346" spans="1:19" x14ac:dyDescent="0.25">
      <c r="A346" t="s">
        <v>371</v>
      </c>
      <c r="B346" t="s">
        <v>17</v>
      </c>
      <c r="C346" s="1">
        <v>45196</v>
      </c>
      <c r="D346" s="1">
        <v>45205</v>
      </c>
      <c r="E346" t="s">
        <v>39</v>
      </c>
      <c r="F346" t="s">
        <v>18</v>
      </c>
      <c r="G346">
        <v>200</v>
      </c>
      <c r="H346" s="3">
        <v>44.16</v>
      </c>
      <c r="I346" s="3">
        <v>43.13</v>
      </c>
      <c r="J346">
        <v>21</v>
      </c>
      <c r="K346" t="s">
        <v>15</v>
      </c>
      <c r="L346">
        <f t="shared" si="25"/>
        <v>9</v>
      </c>
      <c r="M346" s="3">
        <f>Table1[[#This Row],[Quantity]]*Table1[[#This Row],[Negotiated_Price]]</f>
        <v>8626</v>
      </c>
      <c r="N346" s="3">
        <f>Table1[[#This Row],[Quantity]]*Table1[[#This Row],[Unit_Price]]</f>
        <v>8832</v>
      </c>
      <c r="O346" s="3">
        <f>Table1[[#This Row],[ Original_Spend ]]-Table1[[#This Row],[ Total_Spend ]]</f>
        <v>206</v>
      </c>
      <c r="P346" s="2">
        <f t="shared" si="26"/>
        <v>2.332427536231884E-2</v>
      </c>
      <c r="Q346" s="2">
        <f t="shared" si="27"/>
        <v>0.105</v>
      </c>
      <c r="R346" t="str">
        <f t="shared" si="28"/>
        <v>On Time</v>
      </c>
      <c r="S346" t="str">
        <f t="shared" si="29"/>
        <v>OK</v>
      </c>
    </row>
    <row r="347" spans="1:19" x14ac:dyDescent="0.25">
      <c r="A347" t="s">
        <v>372</v>
      </c>
      <c r="B347" t="s">
        <v>20</v>
      </c>
      <c r="C347" s="1">
        <v>44645</v>
      </c>
      <c r="D347" s="1">
        <v>44654</v>
      </c>
      <c r="E347" t="s">
        <v>24</v>
      </c>
      <c r="F347" t="s">
        <v>18</v>
      </c>
      <c r="G347">
        <v>1488</v>
      </c>
      <c r="H347" s="3">
        <v>22.76</v>
      </c>
      <c r="I347" s="3">
        <v>21.99</v>
      </c>
      <c r="K347" t="s">
        <v>15</v>
      </c>
      <c r="L347">
        <f t="shared" si="25"/>
        <v>9</v>
      </c>
      <c r="M347" s="3">
        <f>Table1[[#This Row],[Quantity]]*Table1[[#This Row],[Negotiated_Price]]</f>
        <v>32721.119999999999</v>
      </c>
      <c r="N347" s="3">
        <f>Table1[[#This Row],[Quantity]]*Table1[[#This Row],[Unit_Price]]</f>
        <v>33866.880000000005</v>
      </c>
      <c r="O347" s="3">
        <f>Table1[[#This Row],[ Original_Spend ]]-Table1[[#This Row],[ Total_Spend ]]</f>
        <v>1145.7600000000057</v>
      </c>
      <c r="P347" s="2">
        <f t="shared" si="26"/>
        <v>3.3831282952548496E-2</v>
      </c>
      <c r="Q347" s="2">
        <f t="shared" si="27"/>
        <v>0</v>
      </c>
      <c r="R347" t="str">
        <f t="shared" si="28"/>
        <v>On Time</v>
      </c>
      <c r="S347" t="str">
        <f t="shared" si="29"/>
        <v>OK</v>
      </c>
    </row>
    <row r="348" spans="1:19" x14ac:dyDescent="0.25">
      <c r="A348" t="s">
        <v>373</v>
      </c>
      <c r="B348" t="s">
        <v>29</v>
      </c>
      <c r="C348" s="1">
        <v>44991</v>
      </c>
      <c r="D348" s="1">
        <v>45001</v>
      </c>
      <c r="E348" t="s">
        <v>39</v>
      </c>
      <c r="F348" t="s">
        <v>18</v>
      </c>
      <c r="G348">
        <v>1371</v>
      </c>
      <c r="H348" s="3">
        <v>87.16</v>
      </c>
      <c r="I348" s="3">
        <v>78.13</v>
      </c>
      <c r="J348">
        <v>43</v>
      </c>
      <c r="K348" t="s">
        <v>15</v>
      </c>
      <c r="L348">
        <f t="shared" si="25"/>
        <v>10</v>
      </c>
      <c r="M348" s="3">
        <f>Table1[[#This Row],[Quantity]]*Table1[[#This Row],[Negotiated_Price]]</f>
        <v>107116.23</v>
      </c>
      <c r="N348" s="3">
        <f>Table1[[#This Row],[Quantity]]*Table1[[#This Row],[Unit_Price]]</f>
        <v>119496.36</v>
      </c>
      <c r="O348" s="3">
        <f>Table1[[#This Row],[ Original_Spend ]]-Table1[[#This Row],[ Total_Spend ]]</f>
        <v>12380.130000000005</v>
      </c>
      <c r="P348" s="2">
        <f t="shared" si="26"/>
        <v>0.10360256998623225</v>
      </c>
      <c r="Q348" s="2">
        <f t="shared" si="27"/>
        <v>3.1363967906637494E-2</v>
      </c>
      <c r="R348" t="str">
        <f t="shared" si="28"/>
        <v>On Time</v>
      </c>
      <c r="S348" t="str">
        <f t="shared" si="29"/>
        <v>OK</v>
      </c>
    </row>
    <row r="349" spans="1:19" x14ac:dyDescent="0.25">
      <c r="A349" t="s">
        <v>374</v>
      </c>
      <c r="B349" t="s">
        <v>12</v>
      </c>
      <c r="C349" s="1">
        <v>45235</v>
      </c>
      <c r="E349" t="s">
        <v>13</v>
      </c>
      <c r="F349" t="s">
        <v>18</v>
      </c>
      <c r="G349">
        <v>1684</v>
      </c>
      <c r="H349" s="3">
        <v>73.05</v>
      </c>
      <c r="I349" s="3">
        <v>62.53</v>
      </c>
      <c r="K349" t="s">
        <v>15</v>
      </c>
      <c r="L349" t="str">
        <f t="shared" si="25"/>
        <v/>
      </c>
      <c r="M349" s="3">
        <f>Table1[[#This Row],[Quantity]]*Table1[[#This Row],[Negotiated_Price]]</f>
        <v>105300.52</v>
      </c>
      <c r="N349" s="3">
        <f>Table1[[#This Row],[Quantity]]*Table1[[#This Row],[Unit_Price]]</f>
        <v>123016.2</v>
      </c>
      <c r="O349" s="3">
        <f>Table1[[#This Row],[ Original_Spend ]]-Table1[[#This Row],[ Total_Spend ]]</f>
        <v>17715.679999999993</v>
      </c>
      <c r="P349" s="2">
        <f t="shared" si="26"/>
        <v>0.14401095140314848</v>
      </c>
      <c r="Q349" s="2">
        <f t="shared" si="27"/>
        <v>0</v>
      </c>
      <c r="R349" t="str">
        <f t="shared" si="28"/>
        <v>Missing Delivery Date</v>
      </c>
      <c r="S349" t="str">
        <f t="shared" si="29"/>
        <v>Missing Delivery Date</v>
      </c>
    </row>
    <row r="350" spans="1:19" x14ac:dyDescent="0.25">
      <c r="A350" t="s">
        <v>375</v>
      </c>
      <c r="B350" t="s">
        <v>29</v>
      </c>
      <c r="C350" s="1">
        <v>45159</v>
      </c>
      <c r="D350" s="1">
        <v>45165</v>
      </c>
      <c r="E350" t="s">
        <v>39</v>
      </c>
      <c r="F350" t="s">
        <v>18</v>
      </c>
      <c r="G350">
        <v>312</v>
      </c>
      <c r="H350" s="3">
        <v>63.52</v>
      </c>
      <c r="I350" s="3">
        <v>58.09</v>
      </c>
      <c r="K350" t="s">
        <v>15</v>
      </c>
      <c r="L350">
        <f t="shared" si="25"/>
        <v>6</v>
      </c>
      <c r="M350" s="3">
        <f>Table1[[#This Row],[Quantity]]*Table1[[#This Row],[Negotiated_Price]]</f>
        <v>18124.080000000002</v>
      </c>
      <c r="N350" s="3">
        <f>Table1[[#This Row],[Quantity]]*Table1[[#This Row],[Unit_Price]]</f>
        <v>19818.240000000002</v>
      </c>
      <c r="O350" s="3">
        <f>Table1[[#This Row],[ Original_Spend ]]-Table1[[#This Row],[ Total_Spend ]]</f>
        <v>1694.1599999999999</v>
      </c>
      <c r="P350" s="2">
        <f t="shared" si="26"/>
        <v>8.548488664987404E-2</v>
      </c>
      <c r="Q350" s="2">
        <f t="shared" si="27"/>
        <v>0</v>
      </c>
      <c r="R350" t="str">
        <f t="shared" si="28"/>
        <v>On Time</v>
      </c>
      <c r="S350" t="str">
        <f t="shared" si="29"/>
        <v>OK</v>
      </c>
    </row>
    <row r="351" spans="1:19" x14ac:dyDescent="0.25">
      <c r="A351" t="s">
        <v>376</v>
      </c>
      <c r="B351" t="s">
        <v>12</v>
      </c>
      <c r="C351" s="1">
        <v>45140</v>
      </c>
      <c r="D351" s="1">
        <v>45159</v>
      </c>
      <c r="E351" t="s">
        <v>24</v>
      </c>
      <c r="F351" t="s">
        <v>14</v>
      </c>
      <c r="G351">
        <v>1837</v>
      </c>
      <c r="H351" s="3">
        <v>99.04</v>
      </c>
      <c r="I351" s="3">
        <v>86.51</v>
      </c>
      <c r="J351">
        <v>39</v>
      </c>
      <c r="K351" t="s">
        <v>15</v>
      </c>
      <c r="L351">
        <f t="shared" si="25"/>
        <v>19</v>
      </c>
      <c r="M351" s="3">
        <f>Table1[[#This Row],[Quantity]]*Table1[[#This Row],[Negotiated_Price]]</f>
        <v>158918.87</v>
      </c>
      <c r="N351" s="3">
        <f>Table1[[#This Row],[Quantity]]*Table1[[#This Row],[Unit_Price]]</f>
        <v>181936.48</v>
      </c>
      <c r="O351" s="3">
        <f>Table1[[#This Row],[ Original_Spend ]]-Table1[[#This Row],[ Total_Spend ]]</f>
        <v>23017.610000000015</v>
      </c>
      <c r="P351" s="2">
        <f t="shared" si="26"/>
        <v>0.12651453957996778</v>
      </c>
      <c r="Q351" s="2">
        <f t="shared" si="27"/>
        <v>2.1230266739248774E-2</v>
      </c>
      <c r="R351" t="str">
        <f t="shared" si="28"/>
        <v>Cancelled</v>
      </c>
      <c r="S351" t="str">
        <f t="shared" si="29"/>
        <v>Status-Date Conflict</v>
      </c>
    </row>
    <row r="352" spans="1:19" x14ac:dyDescent="0.25">
      <c r="A352" t="s">
        <v>377</v>
      </c>
      <c r="B352" t="s">
        <v>23</v>
      </c>
      <c r="C352" s="1">
        <v>45097</v>
      </c>
      <c r="D352" s="1">
        <v>45100</v>
      </c>
      <c r="E352" t="s">
        <v>21</v>
      </c>
      <c r="F352" t="s">
        <v>18</v>
      </c>
      <c r="G352">
        <v>193</v>
      </c>
      <c r="H352" s="3">
        <v>87.86</v>
      </c>
      <c r="I352" s="3">
        <v>81.739999999999995</v>
      </c>
      <c r="J352">
        <v>21</v>
      </c>
      <c r="K352" t="s">
        <v>15</v>
      </c>
      <c r="L352">
        <f t="shared" si="25"/>
        <v>3</v>
      </c>
      <c r="M352" s="3">
        <f>Table1[[#This Row],[Quantity]]*Table1[[#This Row],[Negotiated_Price]]</f>
        <v>15775.82</v>
      </c>
      <c r="N352" s="3">
        <f>Table1[[#This Row],[Quantity]]*Table1[[#This Row],[Unit_Price]]</f>
        <v>16956.98</v>
      </c>
      <c r="O352" s="3">
        <f>Table1[[#This Row],[ Original_Spend ]]-Table1[[#This Row],[ Total_Spend ]]</f>
        <v>1181.1599999999999</v>
      </c>
      <c r="P352" s="2">
        <f t="shared" si="26"/>
        <v>6.9656271340769405E-2</v>
      </c>
      <c r="Q352" s="2">
        <f t="shared" si="27"/>
        <v>0.10880829015544041</v>
      </c>
      <c r="R352" t="str">
        <f t="shared" si="28"/>
        <v>On Time</v>
      </c>
      <c r="S352" t="str">
        <f t="shared" si="29"/>
        <v>OK</v>
      </c>
    </row>
    <row r="353" spans="1:19" x14ac:dyDescent="0.25">
      <c r="A353" t="s">
        <v>378</v>
      </c>
      <c r="B353" t="s">
        <v>23</v>
      </c>
      <c r="C353" s="1">
        <v>44885</v>
      </c>
      <c r="D353" s="1">
        <v>44886</v>
      </c>
      <c r="E353" t="s">
        <v>39</v>
      </c>
      <c r="F353" t="s">
        <v>18</v>
      </c>
      <c r="G353">
        <v>395</v>
      </c>
      <c r="H353" s="3">
        <v>24.83</v>
      </c>
      <c r="I353" s="3">
        <v>23.96</v>
      </c>
      <c r="J353">
        <v>31</v>
      </c>
      <c r="K353" t="s">
        <v>15</v>
      </c>
      <c r="L353">
        <f t="shared" si="25"/>
        <v>1</v>
      </c>
      <c r="M353" s="3">
        <f>Table1[[#This Row],[Quantity]]*Table1[[#This Row],[Negotiated_Price]]</f>
        <v>9464.2000000000007</v>
      </c>
      <c r="N353" s="3">
        <f>Table1[[#This Row],[Quantity]]*Table1[[#This Row],[Unit_Price]]</f>
        <v>9807.8499999999985</v>
      </c>
      <c r="O353" s="3">
        <f>Table1[[#This Row],[ Original_Spend ]]-Table1[[#This Row],[ Total_Spend ]]</f>
        <v>343.64999999999782</v>
      </c>
      <c r="P353" s="2">
        <f t="shared" si="26"/>
        <v>3.5038260169150001E-2</v>
      </c>
      <c r="Q353" s="2">
        <f t="shared" si="27"/>
        <v>7.848101265822785E-2</v>
      </c>
      <c r="R353" t="str">
        <f t="shared" si="28"/>
        <v>On Time</v>
      </c>
      <c r="S353" t="str">
        <f t="shared" si="29"/>
        <v>OK</v>
      </c>
    </row>
    <row r="354" spans="1:19" x14ac:dyDescent="0.25">
      <c r="A354" t="s">
        <v>379</v>
      </c>
      <c r="B354" t="s">
        <v>29</v>
      </c>
      <c r="C354" s="1">
        <v>44829</v>
      </c>
      <c r="D354" s="1">
        <v>44846</v>
      </c>
      <c r="E354" t="s">
        <v>39</v>
      </c>
      <c r="F354" t="s">
        <v>14</v>
      </c>
      <c r="G354">
        <v>673</v>
      </c>
      <c r="H354" s="3">
        <v>39.58</v>
      </c>
      <c r="I354" s="3">
        <v>35.83</v>
      </c>
      <c r="J354">
        <v>25</v>
      </c>
      <c r="K354" t="s">
        <v>15</v>
      </c>
      <c r="L354">
        <f t="shared" si="25"/>
        <v>17</v>
      </c>
      <c r="M354" s="3">
        <f>Table1[[#This Row],[Quantity]]*Table1[[#This Row],[Negotiated_Price]]</f>
        <v>24113.59</v>
      </c>
      <c r="N354" s="3">
        <f>Table1[[#This Row],[Quantity]]*Table1[[#This Row],[Unit_Price]]</f>
        <v>26637.34</v>
      </c>
      <c r="O354" s="3">
        <f>Table1[[#This Row],[ Original_Spend ]]-Table1[[#This Row],[ Total_Spend ]]</f>
        <v>2523.75</v>
      </c>
      <c r="P354" s="2">
        <f t="shared" si="26"/>
        <v>9.4744820616472963E-2</v>
      </c>
      <c r="Q354" s="2">
        <f t="shared" si="27"/>
        <v>3.7147102526002972E-2</v>
      </c>
      <c r="R354" t="str">
        <f t="shared" si="28"/>
        <v>Cancelled</v>
      </c>
      <c r="S354" t="str">
        <f t="shared" si="29"/>
        <v>Status-Date Conflict</v>
      </c>
    </row>
    <row r="355" spans="1:19" x14ac:dyDescent="0.25">
      <c r="A355" t="s">
        <v>380</v>
      </c>
      <c r="B355" t="s">
        <v>17</v>
      </c>
      <c r="C355" s="1">
        <v>44771</v>
      </c>
      <c r="D355" s="1">
        <v>44785</v>
      </c>
      <c r="E355" t="s">
        <v>13</v>
      </c>
      <c r="F355" t="s">
        <v>14</v>
      </c>
      <c r="G355">
        <v>1066</v>
      </c>
      <c r="H355" s="3">
        <v>33.33</v>
      </c>
      <c r="I355" s="3">
        <v>28.47</v>
      </c>
      <c r="J355">
        <v>162</v>
      </c>
      <c r="K355" t="s">
        <v>27</v>
      </c>
      <c r="L355">
        <f t="shared" si="25"/>
        <v>14</v>
      </c>
      <c r="M355" s="3">
        <f>Table1[[#This Row],[Quantity]]*Table1[[#This Row],[Negotiated_Price]]</f>
        <v>30349.02</v>
      </c>
      <c r="N355" s="3">
        <f>Table1[[#This Row],[Quantity]]*Table1[[#This Row],[Unit_Price]]</f>
        <v>35529.78</v>
      </c>
      <c r="O355" s="3">
        <f>Table1[[#This Row],[ Original_Spend ]]-Table1[[#This Row],[ Total_Spend ]]</f>
        <v>5180.7599999999984</v>
      </c>
      <c r="P355" s="2">
        <f t="shared" si="26"/>
        <v>0.14581458145814577</v>
      </c>
      <c r="Q355" s="2">
        <f t="shared" si="27"/>
        <v>0.15196998123827393</v>
      </c>
      <c r="R355" t="str">
        <f t="shared" si="28"/>
        <v>Cancelled</v>
      </c>
      <c r="S355" t="str">
        <f t="shared" si="29"/>
        <v>Status-Date Conflict</v>
      </c>
    </row>
    <row r="356" spans="1:19" x14ac:dyDescent="0.25">
      <c r="A356" t="s">
        <v>381</v>
      </c>
      <c r="B356" t="s">
        <v>20</v>
      </c>
      <c r="C356" s="1">
        <v>45247</v>
      </c>
      <c r="D356" s="1">
        <v>45253</v>
      </c>
      <c r="E356" t="s">
        <v>24</v>
      </c>
      <c r="F356" t="s">
        <v>18</v>
      </c>
      <c r="G356">
        <v>1645</v>
      </c>
      <c r="H356" s="3">
        <v>85.42</v>
      </c>
      <c r="I356" s="3">
        <v>80.78</v>
      </c>
      <c r="J356">
        <v>73</v>
      </c>
      <c r="K356" t="s">
        <v>27</v>
      </c>
      <c r="L356">
        <f t="shared" si="25"/>
        <v>6</v>
      </c>
      <c r="M356" s="3">
        <f>Table1[[#This Row],[Quantity]]*Table1[[#This Row],[Negotiated_Price]]</f>
        <v>132883.1</v>
      </c>
      <c r="N356" s="3">
        <f>Table1[[#This Row],[Quantity]]*Table1[[#This Row],[Unit_Price]]</f>
        <v>140515.9</v>
      </c>
      <c r="O356" s="3">
        <f>Table1[[#This Row],[ Original_Spend ]]-Table1[[#This Row],[ Total_Spend ]]</f>
        <v>7632.7999999999884</v>
      </c>
      <c r="P356" s="2">
        <f t="shared" si="26"/>
        <v>5.4319831421212751E-2</v>
      </c>
      <c r="Q356" s="2">
        <f t="shared" si="27"/>
        <v>4.4376899696048633E-2</v>
      </c>
      <c r="R356" t="str">
        <f t="shared" si="28"/>
        <v>On Time</v>
      </c>
      <c r="S356" t="str">
        <f t="shared" si="29"/>
        <v>OK</v>
      </c>
    </row>
    <row r="357" spans="1:19" x14ac:dyDescent="0.25">
      <c r="A357" t="s">
        <v>382</v>
      </c>
      <c r="B357" t="s">
        <v>12</v>
      </c>
      <c r="C357" s="1">
        <v>44883</v>
      </c>
      <c r="D357" s="1">
        <v>44894</v>
      </c>
      <c r="E357" t="s">
        <v>39</v>
      </c>
      <c r="F357" t="s">
        <v>18</v>
      </c>
      <c r="G357">
        <v>930</v>
      </c>
      <c r="H357" s="3">
        <v>13.67</v>
      </c>
      <c r="I357" s="3">
        <v>11.95</v>
      </c>
      <c r="J357">
        <v>16</v>
      </c>
      <c r="K357" t="s">
        <v>15</v>
      </c>
      <c r="L357">
        <f t="shared" si="25"/>
        <v>11</v>
      </c>
      <c r="M357" s="3">
        <f>Table1[[#This Row],[Quantity]]*Table1[[#This Row],[Negotiated_Price]]</f>
        <v>11113.5</v>
      </c>
      <c r="N357" s="3">
        <f>Table1[[#This Row],[Quantity]]*Table1[[#This Row],[Unit_Price]]</f>
        <v>12713.1</v>
      </c>
      <c r="O357" s="3">
        <f>Table1[[#This Row],[ Original_Spend ]]-Table1[[#This Row],[ Total_Spend ]]</f>
        <v>1599.6000000000004</v>
      </c>
      <c r="P357" s="2">
        <f t="shared" si="26"/>
        <v>0.12582297000731532</v>
      </c>
      <c r="Q357" s="2">
        <f t="shared" si="27"/>
        <v>1.7204301075268817E-2</v>
      </c>
      <c r="R357" t="str">
        <f t="shared" si="28"/>
        <v>Late</v>
      </c>
      <c r="S357" t="str">
        <f t="shared" si="29"/>
        <v>OK</v>
      </c>
    </row>
    <row r="358" spans="1:19" x14ac:dyDescent="0.25">
      <c r="A358" t="s">
        <v>383</v>
      </c>
      <c r="B358" t="s">
        <v>12</v>
      </c>
      <c r="C358" s="1">
        <v>44806</v>
      </c>
      <c r="D358" s="1">
        <v>44825</v>
      </c>
      <c r="E358" t="s">
        <v>13</v>
      </c>
      <c r="F358" t="s">
        <v>18</v>
      </c>
      <c r="G358">
        <v>51</v>
      </c>
      <c r="H358" s="3">
        <v>63.74</v>
      </c>
      <c r="I358" s="3">
        <v>56.1</v>
      </c>
      <c r="J358">
        <v>0</v>
      </c>
      <c r="K358" t="s">
        <v>15</v>
      </c>
      <c r="L358">
        <f t="shared" si="25"/>
        <v>19</v>
      </c>
      <c r="M358" s="3">
        <f>Table1[[#This Row],[Quantity]]*Table1[[#This Row],[Negotiated_Price]]</f>
        <v>2861.1</v>
      </c>
      <c r="N358" s="3">
        <f>Table1[[#This Row],[Quantity]]*Table1[[#This Row],[Unit_Price]]</f>
        <v>3250.7400000000002</v>
      </c>
      <c r="O358" s="3">
        <f>Table1[[#This Row],[ Original_Spend ]]-Table1[[#This Row],[ Total_Spend ]]</f>
        <v>389.64000000000033</v>
      </c>
      <c r="P358" s="2">
        <f t="shared" si="26"/>
        <v>0.1198619391277064</v>
      </c>
      <c r="Q358" s="2">
        <f t="shared" si="27"/>
        <v>0</v>
      </c>
      <c r="R358" t="str">
        <f t="shared" si="28"/>
        <v>Late</v>
      </c>
      <c r="S358" t="str">
        <f t="shared" si="29"/>
        <v>OK</v>
      </c>
    </row>
    <row r="359" spans="1:19" x14ac:dyDescent="0.25">
      <c r="A359" t="s">
        <v>384</v>
      </c>
      <c r="B359" t="s">
        <v>20</v>
      </c>
      <c r="C359" s="1">
        <v>44833</v>
      </c>
      <c r="D359" s="1">
        <v>44835</v>
      </c>
      <c r="E359" t="s">
        <v>24</v>
      </c>
      <c r="F359" t="s">
        <v>18</v>
      </c>
      <c r="G359">
        <v>946</v>
      </c>
      <c r="H359" s="3">
        <v>81.77</v>
      </c>
      <c r="I359" s="3">
        <v>71.650000000000006</v>
      </c>
      <c r="J359">
        <v>55</v>
      </c>
      <c r="K359" t="s">
        <v>15</v>
      </c>
      <c r="L359">
        <f t="shared" si="25"/>
        <v>2</v>
      </c>
      <c r="M359" s="3">
        <f>Table1[[#This Row],[Quantity]]*Table1[[#This Row],[Negotiated_Price]]</f>
        <v>67780.900000000009</v>
      </c>
      <c r="N359" s="3">
        <f>Table1[[#This Row],[Quantity]]*Table1[[#This Row],[Unit_Price]]</f>
        <v>77354.42</v>
      </c>
      <c r="O359" s="3">
        <f>Table1[[#This Row],[ Original_Spend ]]-Table1[[#This Row],[ Total_Spend ]]</f>
        <v>9573.5199999999895</v>
      </c>
      <c r="P359" s="2">
        <f t="shared" si="26"/>
        <v>0.12376177082059421</v>
      </c>
      <c r="Q359" s="2">
        <f t="shared" si="27"/>
        <v>5.8139534883720929E-2</v>
      </c>
      <c r="R359" t="str">
        <f t="shared" si="28"/>
        <v>On Time</v>
      </c>
      <c r="S359" t="str">
        <f t="shared" si="29"/>
        <v>OK</v>
      </c>
    </row>
    <row r="360" spans="1:19" x14ac:dyDescent="0.25">
      <c r="A360" t="s">
        <v>385</v>
      </c>
      <c r="B360" t="s">
        <v>29</v>
      </c>
      <c r="C360" s="1">
        <v>44967</v>
      </c>
      <c r="D360" s="1">
        <v>44987</v>
      </c>
      <c r="E360" t="s">
        <v>26</v>
      </c>
      <c r="F360" t="s">
        <v>33</v>
      </c>
      <c r="G360">
        <v>1377</v>
      </c>
      <c r="H360" s="3">
        <v>94.69</v>
      </c>
      <c r="I360" s="3">
        <v>84.2</v>
      </c>
      <c r="K360" t="s">
        <v>15</v>
      </c>
      <c r="L360">
        <f t="shared" si="25"/>
        <v>20</v>
      </c>
      <c r="M360" s="3">
        <f>Table1[[#This Row],[Quantity]]*Table1[[#This Row],[Negotiated_Price]]</f>
        <v>115943.40000000001</v>
      </c>
      <c r="N360" s="3">
        <f>Table1[[#This Row],[Quantity]]*Table1[[#This Row],[Unit_Price]]</f>
        <v>130388.12999999999</v>
      </c>
      <c r="O360" s="3">
        <f>Table1[[#This Row],[ Original_Spend ]]-Table1[[#This Row],[ Total_Spend ]]</f>
        <v>14444.729999999981</v>
      </c>
      <c r="P360" s="2">
        <f t="shared" si="26"/>
        <v>0.11078255359594452</v>
      </c>
      <c r="Q360" s="2">
        <f t="shared" si="27"/>
        <v>0</v>
      </c>
      <c r="R360" t="str">
        <f t="shared" si="28"/>
        <v>Partially Delivered</v>
      </c>
      <c r="S360" t="str">
        <f t="shared" si="29"/>
        <v>Status-Date Conflict</v>
      </c>
    </row>
    <row r="361" spans="1:19" x14ac:dyDescent="0.25">
      <c r="A361" t="s">
        <v>386</v>
      </c>
      <c r="B361" t="s">
        <v>29</v>
      </c>
      <c r="C361" s="1">
        <v>44696</v>
      </c>
      <c r="D361" s="1">
        <v>44699</v>
      </c>
      <c r="E361" t="s">
        <v>24</v>
      </c>
      <c r="F361" t="s">
        <v>14</v>
      </c>
      <c r="G361">
        <v>303</v>
      </c>
      <c r="H361" s="3">
        <v>41.6</v>
      </c>
      <c r="I361" s="3">
        <v>40.51</v>
      </c>
      <c r="J361">
        <v>11</v>
      </c>
      <c r="K361" t="s">
        <v>15</v>
      </c>
      <c r="L361">
        <f t="shared" si="25"/>
        <v>3</v>
      </c>
      <c r="M361" s="3">
        <f>Table1[[#This Row],[Quantity]]*Table1[[#This Row],[Negotiated_Price]]</f>
        <v>12274.529999999999</v>
      </c>
      <c r="N361" s="3">
        <f>Table1[[#This Row],[Quantity]]*Table1[[#This Row],[Unit_Price]]</f>
        <v>12604.800000000001</v>
      </c>
      <c r="O361" s="3">
        <f>Table1[[#This Row],[ Original_Spend ]]-Table1[[#This Row],[ Total_Spend ]]</f>
        <v>330.27000000000226</v>
      </c>
      <c r="P361" s="2">
        <f t="shared" si="26"/>
        <v>2.6201923076923254E-2</v>
      </c>
      <c r="Q361" s="2">
        <f t="shared" si="27"/>
        <v>3.6303630363036306E-2</v>
      </c>
      <c r="R361" t="str">
        <f t="shared" si="28"/>
        <v>Cancelled</v>
      </c>
      <c r="S361" t="str">
        <f t="shared" si="29"/>
        <v>Status-Date Conflict</v>
      </c>
    </row>
    <row r="362" spans="1:19" x14ac:dyDescent="0.25">
      <c r="A362" t="s">
        <v>387</v>
      </c>
      <c r="B362" t="s">
        <v>12</v>
      </c>
      <c r="C362" s="1">
        <v>45249</v>
      </c>
      <c r="D362" s="1">
        <v>45263</v>
      </c>
      <c r="E362" t="s">
        <v>26</v>
      </c>
      <c r="F362" t="s">
        <v>18</v>
      </c>
      <c r="G362">
        <v>1725</v>
      </c>
      <c r="H362" s="3">
        <v>93.14</v>
      </c>
      <c r="I362" s="3">
        <v>79.62</v>
      </c>
      <c r="J362">
        <v>24</v>
      </c>
      <c r="K362" t="s">
        <v>15</v>
      </c>
      <c r="L362">
        <f t="shared" si="25"/>
        <v>14</v>
      </c>
      <c r="M362" s="3">
        <f>Table1[[#This Row],[Quantity]]*Table1[[#This Row],[Negotiated_Price]]</f>
        <v>137344.5</v>
      </c>
      <c r="N362" s="3">
        <f>Table1[[#This Row],[Quantity]]*Table1[[#This Row],[Unit_Price]]</f>
        <v>160666.5</v>
      </c>
      <c r="O362" s="3">
        <f>Table1[[#This Row],[ Original_Spend ]]-Table1[[#This Row],[ Total_Spend ]]</f>
        <v>23322</v>
      </c>
      <c r="P362" s="2">
        <f t="shared" si="26"/>
        <v>0.14515782692720636</v>
      </c>
      <c r="Q362" s="2">
        <f t="shared" si="27"/>
        <v>1.391304347826087E-2</v>
      </c>
      <c r="R362" t="str">
        <f t="shared" si="28"/>
        <v>Late</v>
      </c>
      <c r="S362" t="str">
        <f t="shared" si="29"/>
        <v>OK</v>
      </c>
    </row>
    <row r="363" spans="1:19" x14ac:dyDescent="0.25">
      <c r="A363" t="s">
        <v>388</v>
      </c>
      <c r="B363" t="s">
        <v>23</v>
      </c>
      <c r="C363" s="1">
        <v>45222</v>
      </c>
      <c r="D363" s="1">
        <v>45237</v>
      </c>
      <c r="E363" t="s">
        <v>26</v>
      </c>
      <c r="F363" t="s">
        <v>14</v>
      </c>
      <c r="G363">
        <v>502</v>
      </c>
      <c r="H363" s="3">
        <v>22.05</v>
      </c>
      <c r="I363" s="3">
        <v>20.65</v>
      </c>
      <c r="J363">
        <v>50</v>
      </c>
      <c r="K363" t="s">
        <v>27</v>
      </c>
      <c r="L363">
        <f t="shared" si="25"/>
        <v>15</v>
      </c>
      <c r="M363" s="3">
        <f>Table1[[#This Row],[Quantity]]*Table1[[#This Row],[Negotiated_Price]]</f>
        <v>10366.299999999999</v>
      </c>
      <c r="N363" s="3">
        <f>Table1[[#This Row],[Quantity]]*Table1[[#This Row],[Unit_Price]]</f>
        <v>11069.1</v>
      </c>
      <c r="O363" s="3">
        <f>Table1[[#This Row],[ Original_Spend ]]-Table1[[#This Row],[ Total_Spend ]]</f>
        <v>702.80000000000109</v>
      </c>
      <c r="P363" s="2">
        <f t="shared" si="26"/>
        <v>6.3492063492063586E-2</v>
      </c>
      <c r="Q363" s="2">
        <f t="shared" si="27"/>
        <v>9.9601593625498003E-2</v>
      </c>
      <c r="R363" t="str">
        <f t="shared" si="28"/>
        <v>Cancelled</v>
      </c>
      <c r="S363" t="str">
        <f t="shared" si="29"/>
        <v>Status-Date Conflict</v>
      </c>
    </row>
    <row r="364" spans="1:19" x14ac:dyDescent="0.25">
      <c r="A364" t="s">
        <v>389</v>
      </c>
      <c r="B364" t="s">
        <v>20</v>
      </c>
      <c r="C364" s="1">
        <v>44869</v>
      </c>
      <c r="D364" s="1">
        <v>44876</v>
      </c>
      <c r="E364" t="s">
        <v>24</v>
      </c>
      <c r="F364" t="s">
        <v>18</v>
      </c>
      <c r="G364">
        <v>1110</v>
      </c>
      <c r="H364" s="3">
        <v>90.49</v>
      </c>
      <c r="I364" s="3">
        <v>80.03</v>
      </c>
      <c r="J364">
        <v>61</v>
      </c>
      <c r="K364" t="s">
        <v>15</v>
      </c>
      <c r="L364">
        <f t="shared" si="25"/>
        <v>7</v>
      </c>
      <c r="M364" s="3">
        <f>Table1[[#This Row],[Quantity]]*Table1[[#This Row],[Negotiated_Price]]</f>
        <v>88833.3</v>
      </c>
      <c r="N364" s="3">
        <f>Table1[[#This Row],[Quantity]]*Table1[[#This Row],[Unit_Price]]</f>
        <v>100443.9</v>
      </c>
      <c r="O364" s="3">
        <f>Table1[[#This Row],[ Original_Spend ]]-Table1[[#This Row],[ Total_Spend ]]</f>
        <v>11610.599999999991</v>
      </c>
      <c r="P364" s="2">
        <f t="shared" si="26"/>
        <v>0.1155928831915128</v>
      </c>
      <c r="Q364" s="2">
        <f t="shared" si="27"/>
        <v>5.4954954954954956E-2</v>
      </c>
      <c r="R364" t="str">
        <f t="shared" si="28"/>
        <v>On Time</v>
      </c>
      <c r="S364" t="str">
        <f t="shared" si="29"/>
        <v>OK</v>
      </c>
    </row>
    <row r="365" spans="1:19" x14ac:dyDescent="0.25">
      <c r="A365" t="s">
        <v>390</v>
      </c>
      <c r="B365" t="s">
        <v>12</v>
      </c>
      <c r="C365" s="1">
        <v>45030</v>
      </c>
      <c r="D365" s="1">
        <v>45034</v>
      </c>
      <c r="E365" t="s">
        <v>24</v>
      </c>
      <c r="F365" t="s">
        <v>18</v>
      </c>
      <c r="G365">
        <v>1233</v>
      </c>
      <c r="H365" s="3">
        <v>23.08</v>
      </c>
      <c r="I365" s="3">
        <v>20.57</v>
      </c>
      <c r="K365" t="s">
        <v>15</v>
      </c>
      <c r="L365">
        <f t="shared" si="25"/>
        <v>4</v>
      </c>
      <c r="M365" s="3">
        <f>Table1[[#This Row],[Quantity]]*Table1[[#This Row],[Negotiated_Price]]</f>
        <v>25362.81</v>
      </c>
      <c r="N365" s="3">
        <f>Table1[[#This Row],[Quantity]]*Table1[[#This Row],[Unit_Price]]</f>
        <v>28457.64</v>
      </c>
      <c r="O365" s="3">
        <f>Table1[[#This Row],[ Original_Spend ]]-Table1[[#This Row],[ Total_Spend ]]</f>
        <v>3094.8299999999981</v>
      </c>
      <c r="P365" s="2">
        <f t="shared" si="26"/>
        <v>0.10875216637781622</v>
      </c>
      <c r="Q365" s="2">
        <f t="shared" si="27"/>
        <v>0</v>
      </c>
      <c r="R365" t="str">
        <f t="shared" si="28"/>
        <v>On Time</v>
      </c>
      <c r="S365" t="str">
        <f t="shared" si="29"/>
        <v>OK</v>
      </c>
    </row>
    <row r="366" spans="1:19" x14ac:dyDescent="0.25">
      <c r="A366" t="s">
        <v>391</v>
      </c>
      <c r="B366" t="s">
        <v>23</v>
      </c>
      <c r="C366" s="1">
        <v>44885</v>
      </c>
      <c r="D366" s="1">
        <v>44889</v>
      </c>
      <c r="E366" t="s">
        <v>13</v>
      </c>
      <c r="F366" t="s">
        <v>18</v>
      </c>
      <c r="G366">
        <v>1064</v>
      </c>
      <c r="H366" s="3">
        <v>48.04</v>
      </c>
      <c r="I366" s="3">
        <v>43.6</v>
      </c>
      <c r="J366">
        <v>94</v>
      </c>
      <c r="K366" t="s">
        <v>15</v>
      </c>
      <c r="L366">
        <f t="shared" si="25"/>
        <v>4</v>
      </c>
      <c r="M366" s="3">
        <f>Table1[[#This Row],[Quantity]]*Table1[[#This Row],[Negotiated_Price]]</f>
        <v>46390.400000000001</v>
      </c>
      <c r="N366" s="3">
        <f>Table1[[#This Row],[Quantity]]*Table1[[#This Row],[Unit_Price]]</f>
        <v>51114.559999999998</v>
      </c>
      <c r="O366" s="3">
        <f>Table1[[#This Row],[ Original_Spend ]]-Table1[[#This Row],[ Total_Spend ]]</f>
        <v>4724.1599999999962</v>
      </c>
      <c r="P366" s="2">
        <f t="shared" si="26"/>
        <v>9.242298084929218E-2</v>
      </c>
      <c r="Q366" s="2">
        <f t="shared" si="27"/>
        <v>8.834586466165413E-2</v>
      </c>
      <c r="R366" t="str">
        <f t="shared" si="28"/>
        <v>On Time</v>
      </c>
      <c r="S366" t="str">
        <f t="shared" si="29"/>
        <v>OK</v>
      </c>
    </row>
    <row r="367" spans="1:19" x14ac:dyDescent="0.25">
      <c r="A367" t="s">
        <v>392</v>
      </c>
      <c r="B367" t="s">
        <v>29</v>
      </c>
      <c r="C367" s="1">
        <v>44636</v>
      </c>
      <c r="D367" s="1">
        <v>44655</v>
      </c>
      <c r="E367" t="s">
        <v>24</v>
      </c>
      <c r="F367" t="s">
        <v>33</v>
      </c>
      <c r="G367">
        <v>58</v>
      </c>
      <c r="H367" s="3">
        <v>82.57</v>
      </c>
      <c r="I367" s="3">
        <v>76.55</v>
      </c>
      <c r="K367" t="s">
        <v>15</v>
      </c>
      <c r="L367">
        <f t="shared" si="25"/>
        <v>19</v>
      </c>
      <c r="M367" s="3">
        <f>Table1[[#This Row],[Quantity]]*Table1[[#This Row],[Negotiated_Price]]</f>
        <v>4439.8999999999996</v>
      </c>
      <c r="N367" s="3">
        <f>Table1[[#This Row],[Quantity]]*Table1[[#This Row],[Unit_Price]]</f>
        <v>4789.0599999999995</v>
      </c>
      <c r="O367" s="3">
        <f>Table1[[#This Row],[ Original_Spend ]]-Table1[[#This Row],[ Total_Spend ]]</f>
        <v>349.15999999999985</v>
      </c>
      <c r="P367" s="2">
        <f t="shared" si="26"/>
        <v>7.2907835775705435E-2</v>
      </c>
      <c r="Q367" s="2">
        <f t="shared" si="27"/>
        <v>0</v>
      </c>
      <c r="R367" t="str">
        <f t="shared" si="28"/>
        <v>Partially Delivered</v>
      </c>
      <c r="S367" t="str">
        <f t="shared" si="29"/>
        <v>Status-Date Conflict</v>
      </c>
    </row>
    <row r="368" spans="1:19" x14ac:dyDescent="0.25">
      <c r="A368" t="s">
        <v>393</v>
      </c>
      <c r="B368" t="s">
        <v>23</v>
      </c>
      <c r="C368" s="1">
        <v>44571</v>
      </c>
      <c r="D368" s="1">
        <v>44581</v>
      </c>
      <c r="E368" t="s">
        <v>21</v>
      </c>
      <c r="F368" t="s">
        <v>18</v>
      </c>
      <c r="G368">
        <v>1306</v>
      </c>
      <c r="H368" s="3">
        <v>23.49</v>
      </c>
      <c r="I368" s="3">
        <v>20.170000000000002</v>
      </c>
      <c r="J368">
        <v>116</v>
      </c>
      <c r="K368" t="s">
        <v>27</v>
      </c>
      <c r="L368">
        <f t="shared" si="25"/>
        <v>10</v>
      </c>
      <c r="M368" s="3">
        <f>Table1[[#This Row],[Quantity]]*Table1[[#This Row],[Negotiated_Price]]</f>
        <v>26342.02</v>
      </c>
      <c r="N368" s="3">
        <f>Table1[[#This Row],[Quantity]]*Table1[[#This Row],[Unit_Price]]</f>
        <v>30677.94</v>
      </c>
      <c r="O368" s="3">
        <f>Table1[[#This Row],[ Original_Spend ]]-Table1[[#This Row],[ Total_Spend ]]</f>
        <v>4335.9199999999983</v>
      </c>
      <c r="P368" s="2">
        <f t="shared" si="26"/>
        <v>0.1413367390378884</v>
      </c>
      <c r="Q368" s="2">
        <f t="shared" si="27"/>
        <v>8.8820826952526799E-2</v>
      </c>
      <c r="R368" t="str">
        <f t="shared" si="28"/>
        <v>On Time</v>
      </c>
      <c r="S368" t="str">
        <f t="shared" si="29"/>
        <v>OK</v>
      </c>
    </row>
    <row r="369" spans="1:19" x14ac:dyDescent="0.25">
      <c r="A369" t="s">
        <v>394</v>
      </c>
      <c r="B369" t="s">
        <v>17</v>
      </c>
      <c r="C369" s="1">
        <v>45031</v>
      </c>
      <c r="D369" s="1">
        <v>45044</v>
      </c>
      <c r="E369" t="s">
        <v>39</v>
      </c>
      <c r="F369" t="s">
        <v>18</v>
      </c>
      <c r="G369">
        <v>1172</v>
      </c>
      <c r="H369" s="3">
        <v>32.93</v>
      </c>
      <c r="I369" s="3">
        <v>29.28</v>
      </c>
      <c r="K369" t="s">
        <v>27</v>
      </c>
      <c r="L369">
        <f t="shared" si="25"/>
        <v>13</v>
      </c>
      <c r="M369" s="3">
        <f>Table1[[#This Row],[Quantity]]*Table1[[#This Row],[Negotiated_Price]]</f>
        <v>34316.160000000003</v>
      </c>
      <c r="N369" s="3">
        <f>Table1[[#This Row],[Quantity]]*Table1[[#This Row],[Unit_Price]]</f>
        <v>38593.96</v>
      </c>
      <c r="O369" s="3">
        <f>Table1[[#This Row],[ Original_Spend ]]-Table1[[#This Row],[ Total_Spend ]]</f>
        <v>4277.7999999999956</v>
      </c>
      <c r="P369" s="2">
        <f t="shared" si="26"/>
        <v>0.11084117825690848</v>
      </c>
      <c r="Q369" s="2">
        <f t="shared" si="27"/>
        <v>0</v>
      </c>
      <c r="R369" t="str">
        <f t="shared" si="28"/>
        <v>Late</v>
      </c>
      <c r="S369" t="str">
        <f t="shared" si="29"/>
        <v>OK</v>
      </c>
    </row>
    <row r="370" spans="1:19" x14ac:dyDescent="0.25">
      <c r="A370" t="s">
        <v>395</v>
      </c>
      <c r="B370" t="s">
        <v>12</v>
      </c>
      <c r="C370" s="1">
        <v>45198</v>
      </c>
      <c r="E370" t="s">
        <v>24</v>
      </c>
      <c r="F370" t="s">
        <v>18</v>
      </c>
      <c r="G370">
        <v>1732</v>
      </c>
      <c r="H370" s="3">
        <v>82.5</v>
      </c>
      <c r="I370" s="3">
        <v>71.709999999999994</v>
      </c>
      <c r="J370">
        <v>24</v>
      </c>
      <c r="K370" t="s">
        <v>15</v>
      </c>
      <c r="L370" t="str">
        <f t="shared" si="25"/>
        <v/>
      </c>
      <c r="M370" s="3">
        <f>Table1[[#This Row],[Quantity]]*Table1[[#This Row],[Negotiated_Price]]</f>
        <v>124201.71999999999</v>
      </c>
      <c r="N370" s="3">
        <f>Table1[[#This Row],[Quantity]]*Table1[[#This Row],[Unit_Price]]</f>
        <v>142890</v>
      </c>
      <c r="O370" s="3">
        <f>Table1[[#This Row],[ Original_Spend ]]-Table1[[#This Row],[ Total_Spend ]]</f>
        <v>18688.280000000013</v>
      </c>
      <c r="P370" s="2">
        <f t="shared" si="26"/>
        <v>0.13078787878787887</v>
      </c>
      <c r="Q370" s="2">
        <f t="shared" si="27"/>
        <v>1.3856812933025405E-2</v>
      </c>
      <c r="R370" t="str">
        <f t="shared" si="28"/>
        <v>Missing Delivery Date</v>
      </c>
      <c r="S370" t="str">
        <f t="shared" si="29"/>
        <v>Missing Delivery Date</v>
      </c>
    </row>
    <row r="371" spans="1:19" x14ac:dyDescent="0.25">
      <c r="A371" t="s">
        <v>396</v>
      </c>
      <c r="B371" t="s">
        <v>20</v>
      </c>
      <c r="C371" s="1">
        <v>45138</v>
      </c>
      <c r="D371" s="1">
        <v>45145</v>
      </c>
      <c r="E371" t="s">
        <v>26</v>
      </c>
      <c r="F371" t="s">
        <v>18</v>
      </c>
      <c r="G371">
        <v>865</v>
      </c>
      <c r="H371" s="3">
        <v>81.540000000000006</v>
      </c>
      <c r="I371" s="3">
        <v>71.59</v>
      </c>
      <c r="J371">
        <v>39</v>
      </c>
      <c r="K371" t="s">
        <v>15</v>
      </c>
      <c r="L371">
        <f t="shared" si="25"/>
        <v>7</v>
      </c>
      <c r="M371" s="3">
        <f>Table1[[#This Row],[Quantity]]*Table1[[#This Row],[Negotiated_Price]]</f>
        <v>61925.350000000006</v>
      </c>
      <c r="N371" s="3">
        <f>Table1[[#This Row],[Quantity]]*Table1[[#This Row],[Unit_Price]]</f>
        <v>70532.100000000006</v>
      </c>
      <c r="O371" s="3">
        <f>Table1[[#This Row],[ Original_Spend ]]-Table1[[#This Row],[ Total_Spend ]]</f>
        <v>8606.75</v>
      </c>
      <c r="P371" s="2">
        <f t="shared" si="26"/>
        <v>0.12202599950944321</v>
      </c>
      <c r="Q371" s="2">
        <f t="shared" si="27"/>
        <v>4.5086705202312137E-2</v>
      </c>
      <c r="R371" t="str">
        <f t="shared" si="28"/>
        <v>On Time</v>
      </c>
      <c r="S371" t="str">
        <f t="shared" si="29"/>
        <v>OK</v>
      </c>
    </row>
    <row r="372" spans="1:19" x14ac:dyDescent="0.25">
      <c r="A372" t="s">
        <v>397</v>
      </c>
      <c r="B372" t="s">
        <v>23</v>
      </c>
      <c r="C372" s="1">
        <v>44664</v>
      </c>
      <c r="D372" s="1">
        <v>44671</v>
      </c>
      <c r="E372" t="s">
        <v>26</v>
      </c>
      <c r="F372" t="s">
        <v>18</v>
      </c>
      <c r="G372">
        <v>257</v>
      </c>
      <c r="H372" s="3">
        <v>68.72</v>
      </c>
      <c r="I372" s="3">
        <v>66.92</v>
      </c>
      <c r="J372">
        <v>22</v>
      </c>
      <c r="K372" t="s">
        <v>15</v>
      </c>
      <c r="L372">
        <f t="shared" si="25"/>
        <v>7</v>
      </c>
      <c r="M372" s="3">
        <f>Table1[[#This Row],[Quantity]]*Table1[[#This Row],[Negotiated_Price]]</f>
        <v>17198.439999999999</v>
      </c>
      <c r="N372" s="3">
        <f>Table1[[#This Row],[Quantity]]*Table1[[#This Row],[Unit_Price]]</f>
        <v>17661.04</v>
      </c>
      <c r="O372" s="3">
        <f>Table1[[#This Row],[ Original_Spend ]]-Table1[[#This Row],[ Total_Spend ]]</f>
        <v>462.60000000000218</v>
      </c>
      <c r="P372" s="2">
        <f t="shared" si="26"/>
        <v>2.6193247962747503E-2</v>
      </c>
      <c r="Q372" s="2">
        <f t="shared" si="27"/>
        <v>8.5603112840466927E-2</v>
      </c>
      <c r="R372" t="str">
        <f t="shared" si="28"/>
        <v>On Time</v>
      </c>
      <c r="S372" t="str">
        <f t="shared" si="29"/>
        <v>OK</v>
      </c>
    </row>
    <row r="373" spans="1:19" x14ac:dyDescent="0.25">
      <c r="A373" t="s">
        <v>398</v>
      </c>
      <c r="B373" t="s">
        <v>29</v>
      </c>
      <c r="C373" s="1">
        <v>44637</v>
      </c>
      <c r="D373" s="1">
        <v>44646</v>
      </c>
      <c r="E373" t="s">
        <v>24</v>
      </c>
      <c r="F373" t="s">
        <v>18</v>
      </c>
      <c r="G373">
        <v>1204</v>
      </c>
      <c r="H373" s="3">
        <v>73.180000000000007</v>
      </c>
      <c r="I373" s="3">
        <v>67.59</v>
      </c>
      <c r="J373">
        <v>31</v>
      </c>
      <c r="K373" t="s">
        <v>15</v>
      </c>
      <c r="L373">
        <f t="shared" si="25"/>
        <v>9</v>
      </c>
      <c r="M373" s="3">
        <f>Table1[[#This Row],[Quantity]]*Table1[[#This Row],[Negotiated_Price]]</f>
        <v>81378.36</v>
      </c>
      <c r="N373" s="3">
        <f>Table1[[#This Row],[Quantity]]*Table1[[#This Row],[Unit_Price]]</f>
        <v>88108.72</v>
      </c>
      <c r="O373" s="3">
        <f>Table1[[#This Row],[ Original_Spend ]]-Table1[[#This Row],[ Total_Spend ]]</f>
        <v>6730.3600000000006</v>
      </c>
      <c r="P373" s="2">
        <f t="shared" si="26"/>
        <v>7.6386990981142391E-2</v>
      </c>
      <c r="Q373" s="2">
        <f t="shared" si="27"/>
        <v>2.5747508305647839E-2</v>
      </c>
      <c r="R373" t="str">
        <f t="shared" si="28"/>
        <v>On Time</v>
      </c>
      <c r="S373" t="str">
        <f t="shared" si="29"/>
        <v>OK</v>
      </c>
    </row>
    <row r="374" spans="1:19" x14ac:dyDescent="0.25">
      <c r="A374" t="s">
        <v>399</v>
      </c>
      <c r="B374" t="s">
        <v>23</v>
      </c>
      <c r="C374" s="1">
        <v>45112</v>
      </c>
      <c r="D374" s="1">
        <v>45116</v>
      </c>
      <c r="E374" t="s">
        <v>39</v>
      </c>
      <c r="F374" t="s">
        <v>33</v>
      </c>
      <c r="G374">
        <v>453</v>
      </c>
      <c r="H374" s="3">
        <v>64.14</v>
      </c>
      <c r="I374" s="3">
        <v>60.18</v>
      </c>
      <c r="J374">
        <v>51</v>
      </c>
      <c r="K374" t="s">
        <v>15</v>
      </c>
      <c r="L374">
        <f t="shared" si="25"/>
        <v>4</v>
      </c>
      <c r="M374" s="3">
        <f>Table1[[#This Row],[Quantity]]*Table1[[#This Row],[Negotiated_Price]]</f>
        <v>27261.54</v>
      </c>
      <c r="N374" s="3">
        <f>Table1[[#This Row],[Quantity]]*Table1[[#This Row],[Unit_Price]]</f>
        <v>29055.420000000002</v>
      </c>
      <c r="O374" s="3">
        <f>Table1[[#This Row],[ Original_Spend ]]-Table1[[#This Row],[ Total_Spend ]]</f>
        <v>1793.880000000001</v>
      </c>
      <c r="P374" s="2">
        <f t="shared" si="26"/>
        <v>6.1739943872778327E-2</v>
      </c>
      <c r="Q374" s="2">
        <f t="shared" si="27"/>
        <v>0.11258278145695365</v>
      </c>
      <c r="R374" t="str">
        <f t="shared" si="28"/>
        <v>Partially Delivered</v>
      </c>
      <c r="S374" t="str">
        <f t="shared" si="29"/>
        <v>Status-Date Conflict</v>
      </c>
    </row>
    <row r="375" spans="1:19" x14ac:dyDescent="0.25">
      <c r="A375" t="s">
        <v>400</v>
      </c>
      <c r="B375" t="s">
        <v>29</v>
      </c>
      <c r="C375" s="1">
        <v>44780</v>
      </c>
      <c r="D375" s="1">
        <v>44794</v>
      </c>
      <c r="E375" t="s">
        <v>39</v>
      </c>
      <c r="F375" t="s">
        <v>18</v>
      </c>
      <c r="G375">
        <v>201</v>
      </c>
      <c r="H375" s="3">
        <v>33.81</v>
      </c>
      <c r="I375" s="3">
        <v>32.54</v>
      </c>
      <c r="J375">
        <v>3</v>
      </c>
      <c r="K375" t="s">
        <v>15</v>
      </c>
      <c r="L375">
        <f t="shared" si="25"/>
        <v>14</v>
      </c>
      <c r="M375" s="3">
        <f>Table1[[#This Row],[Quantity]]*Table1[[#This Row],[Negotiated_Price]]</f>
        <v>6540.54</v>
      </c>
      <c r="N375" s="3">
        <f>Table1[[#This Row],[Quantity]]*Table1[[#This Row],[Unit_Price]]</f>
        <v>6795.81</v>
      </c>
      <c r="O375" s="3">
        <f>Table1[[#This Row],[ Original_Spend ]]-Table1[[#This Row],[ Total_Spend ]]</f>
        <v>255.27000000000044</v>
      </c>
      <c r="P375" s="2">
        <f t="shared" si="26"/>
        <v>3.7562851227447562E-2</v>
      </c>
      <c r="Q375" s="2">
        <f t="shared" si="27"/>
        <v>1.4925373134328358E-2</v>
      </c>
      <c r="R375" t="str">
        <f t="shared" si="28"/>
        <v>Late</v>
      </c>
      <c r="S375" t="str">
        <f t="shared" si="29"/>
        <v>OK</v>
      </c>
    </row>
    <row r="376" spans="1:19" x14ac:dyDescent="0.25">
      <c r="A376" t="s">
        <v>401</v>
      </c>
      <c r="B376" t="s">
        <v>17</v>
      </c>
      <c r="C376" s="1">
        <v>45080</v>
      </c>
      <c r="D376" s="1">
        <v>45093</v>
      </c>
      <c r="E376" t="s">
        <v>13</v>
      </c>
      <c r="F376" t="s">
        <v>18</v>
      </c>
      <c r="G376">
        <v>103</v>
      </c>
      <c r="H376" s="3">
        <v>44.61</v>
      </c>
      <c r="I376" s="3">
        <v>42.88</v>
      </c>
      <c r="J376">
        <v>10</v>
      </c>
      <c r="K376" t="s">
        <v>15</v>
      </c>
      <c r="L376">
        <f t="shared" si="25"/>
        <v>13</v>
      </c>
      <c r="M376" s="3">
        <f>Table1[[#This Row],[Quantity]]*Table1[[#This Row],[Negotiated_Price]]</f>
        <v>4416.6400000000003</v>
      </c>
      <c r="N376" s="3">
        <f>Table1[[#This Row],[Quantity]]*Table1[[#This Row],[Unit_Price]]</f>
        <v>4594.83</v>
      </c>
      <c r="O376" s="3">
        <f>Table1[[#This Row],[ Original_Spend ]]-Table1[[#This Row],[ Total_Spend ]]</f>
        <v>178.1899999999996</v>
      </c>
      <c r="P376" s="2">
        <f t="shared" si="26"/>
        <v>3.878054247926465E-2</v>
      </c>
      <c r="Q376" s="2">
        <f t="shared" si="27"/>
        <v>9.7087378640776698E-2</v>
      </c>
      <c r="R376" t="str">
        <f t="shared" si="28"/>
        <v>Late</v>
      </c>
      <c r="S376" t="str">
        <f t="shared" si="29"/>
        <v>OK</v>
      </c>
    </row>
    <row r="377" spans="1:19" x14ac:dyDescent="0.25">
      <c r="A377" t="s">
        <v>402</v>
      </c>
      <c r="B377" t="s">
        <v>29</v>
      </c>
      <c r="C377" s="1">
        <v>44833</v>
      </c>
      <c r="D377" s="1">
        <v>44841</v>
      </c>
      <c r="E377" t="s">
        <v>13</v>
      </c>
      <c r="F377" t="s">
        <v>18</v>
      </c>
      <c r="G377">
        <v>1193</v>
      </c>
      <c r="H377" s="3">
        <v>27.4</v>
      </c>
      <c r="I377" s="3">
        <v>27.09</v>
      </c>
      <c r="K377" t="s">
        <v>15</v>
      </c>
      <c r="L377">
        <f t="shared" si="25"/>
        <v>8</v>
      </c>
      <c r="M377" s="3">
        <f>Table1[[#This Row],[Quantity]]*Table1[[#This Row],[Negotiated_Price]]</f>
        <v>32318.37</v>
      </c>
      <c r="N377" s="3">
        <f>Table1[[#This Row],[Quantity]]*Table1[[#This Row],[Unit_Price]]</f>
        <v>32688.199999999997</v>
      </c>
      <c r="O377" s="3">
        <f>Table1[[#This Row],[ Original_Spend ]]-Table1[[#This Row],[ Total_Spend ]]</f>
        <v>369.82999999999811</v>
      </c>
      <c r="P377" s="2">
        <f t="shared" si="26"/>
        <v>1.131386861313863E-2</v>
      </c>
      <c r="Q377" s="2">
        <f t="shared" si="27"/>
        <v>0</v>
      </c>
      <c r="R377" t="str">
        <f t="shared" si="28"/>
        <v>On Time</v>
      </c>
      <c r="S377" t="str">
        <f t="shared" si="29"/>
        <v>OK</v>
      </c>
    </row>
    <row r="378" spans="1:19" x14ac:dyDescent="0.25">
      <c r="A378" t="s">
        <v>403</v>
      </c>
      <c r="B378" t="s">
        <v>20</v>
      </c>
      <c r="C378" s="1">
        <v>44697</v>
      </c>
      <c r="D378" s="1">
        <v>44709</v>
      </c>
      <c r="E378" t="s">
        <v>13</v>
      </c>
      <c r="F378" t="s">
        <v>33</v>
      </c>
      <c r="G378">
        <v>1746</v>
      </c>
      <c r="H378" s="3">
        <v>93.6</v>
      </c>
      <c r="I378" s="3">
        <v>89.81</v>
      </c>
      <c r="J378">
        <v>85</v>
      </c>
      <c r="K378" t="s">
        <v>15</v>
      </c>
      <c r="L378">
        <f t="shared" si="25"/>
        <v>12</v>
      </c>
      <c r="M378" s="3">
        <f>Table1[[#This Row],[Quantity]]*Table1[[#This Row],[Negotiated_Price]]</f>
        <v>156808.26</v>
      </c>
      <c r="N378" s="3">
        <f>Table1[[#This Row],[Quantity]]*Table1[[#This Row],[Unit_Price]]</f>
        <v>163425.59999999998</v>
      </c>
      <c r="O378" s="3">
        <f>Table1[[#This Row],[ Original_Spend ]]-Table1[[#This Row],[ Total_Spend ]]</f>
        <v>6617.3399999999674</v>
      </c>
      <c r="P378" s="2">
        <f t="shared" si="26"/>
        <v>4.0491452991452799E-2</v>
      </c>
      <c r="Q378" s="2">
        <f t="shared" si="27"/>
        <v>4.868270332187858E-2</v>
      </c>
      <c r="R378" t="str">
        <f t="shared" si="28"/>
        <v>Partially Delivered</v>
      </c>
      <c r="S378" t="str">
        <f t="shared" si="29"/>
        <v>Status-Date Conflict</v>
      </c>
    </row>
    <row r="379" spans="1:19" x14ac:dyDescent="0.25">
      <c r="A379" t="s">
        <v>404</v>
      </c>
      <c r="B379" t="s">
        <v>17</v>
      </c>
      <c r="C379" s="1">
        <v>44919</v>
      </c>
      <c r="D379" s="1">
        <v>44921</v>
      </c>
      <c r="E379" t="s">
        <v>39</v>
      </c>
      <c r="F379" t="s">
        <v>18</v>
      </c>
      <c r="G379">
        <v>1993</v>
      </c>
      <c r="H379" s="3">
        <v>65.94</v>
      </c>
      <c r="I379" s="3">
        <v>59.36</v>
      </c>
      <c r="K379" t="s">
        <v>15</v>
      </c>
      <c r="L379">
        <f t="shared" si="25"/>
        <v>2</v>
      </c>
      <c r="M379" s="3">
        <f>Table1[[#This Row],[Quantity]]*Table1[[#This Row],[Negotiated_Price]]</f>
        <v>118304.48</v>
      </c>
      <c r="N379" s="3">
        <f>Table1[[#This Row],[Quantity]]*Table1[[#This Row],[Unit_Price]]</f>
        <v>131418.41999999998</v>
      </c>
      <c r="O379" s="3">
        <f>Table1[[#This Row],[ Original_Spend ]]-Table1[[#This Row],[ Total_Spend ]]</f>
        <v>13113.939999999988</v>
      </c>
      <c r="P379" s="2">
        <f t="shared" si="26"/>
        <v>9.9787685774946844E-2</v>
      </c>
      <c r="Q379" s="2">
        <f t="shared" si="27"/>
        <v>0</v>
      </c>
      <c r="R379" t="str">
        <f t="shared" si="28"/>
        <v>On Time</v>
      </c>
      <c r="S379" t="str">
        <f t="shared" si="29"/>
        <v>OK</v>
      </c>
    </row>
    <row r="380" spans="1:19" x14ac:dyDescent="0.25">
      <c r="A380" t="s">
        <v>405</v>
      </c>
      <c r="B380" t="s">
        <v>23</v>
      </c>
      <c r="C380" s="1">
        <v>44632</v>
      </c>
      <c r="D380" s="1">
        <v>44647</v>
      </c>
      <c r="E380" t="s">
        <v>26</v>
      </c>
      <c r="F380" t="s">
        <v>18</v>
      </c>
      <c r="G380">
        <v>677</v>
      </c>
      <c r="H380" s="3">
        <v>46.54</v>
      </c>
      <c r="I380" s="3">
        <v>43.11</v>
      </c>
      <c r="K380" t="s">
        <v>27</v>
      </c>
      <c r="L380">
        <f t="shared" si="25"/>
        <v>15</v>
      </c>
      <c r="M380" s="3">
        <f>Table1[[#This Row],[Quantity]]*Table1[[#This Row],[Negotiated_Price]]</f>
        <v>29185.47</v>
      </c>
      <c r="N380" s="3">
        <f>Table1[[#This Row],[Quantity]]*Table1[[#This Row],[Unit_Price]]</f>
        <v>31507.579999999998</v>
      </c>
      <c r="O380" s="3">
        <f>Table1[[#This Row],[ Original_Spend ]]-Table1[[#This Row],[ Total_Spend ]]</f>
        <v>2322.1099999999969</v>
      </c>
      <c r="P380" s="2">
        <f t="shared" si="26"/>
        <v>7.3700042973785893E-2</v>
      </c>
      <c r="Q380" s="2">
        <f t="shared" si="27"/>
        <v>0</v>
      </c>
      <c r="R380" t="str">
        <f t="shared" si="28"/>
        <v>Late</v>
      </c>
      <c r="S380" t="str">
        <f t="shared" si="29"/>
        <v>OK</v>
      </c>
    </row>
    <row r="381" spans="1:19" x14ac:dyDescent="0.25">
      <c r="A381" t="s">
        <v>406</v>
      </c>
      <c r="B381" t="s">
        <v>12</v>
      </c>
      <c r="C381" s="1">
        <v>44812</v>
      </c>
      <c r="E381" t="s">
        <v>13</v>
      </c>
      <c r="F381" t="s">
        <v>35</v>
      </c>
      <c r="G381">
        <v>636</v>
      </c>
      <c r="H381" s="3">
        <v>53.64</v>
      </c>
      <c r="I381" s="3">
        <v>49.23</v>
      </c>
      <c r="J381">
        <v>18</v>
      </c>
      <c r="K381" t="s">
        <v>15</v>
      </c>
      <c r="L381" t="str">
        <f t="shared" si="25"/>
        <v/>
      </c>
      <c r="M381" s="3">
        <f>Table1[[#This Row],[Quantity]]*Table1[[#This Row],[Negotiated_Price]]</f>
        <v>31310.28</v>
      </c>
      <c r="N381" s="3">
        <f>Table1[[#This Row],[Quantity]]*Table1[[#This Row],[Unit_Price]]</f>
        <v>34115.040000000001</v>
      </c>
      <c r="O381" s="3">
        <f>Table1[[#This Row],[ Original_Spend ]]-Table1[[#This Row],[ Total_Spend ]]</f>
        <v>2804.760000000002</v>
      </c>
      <c r="P381" s="2">
        <f t="shared" si="26"/>
        <v>8.2214765100671203E-2</v>
      </c>
      <c r="Q381" s="2">
        <f t="shared" si="27"/>
        <v>2.8301886792452831E-2</v>
      </c>
      <c r="R381" t="str">
        <f t="shared" si="28"/>
        <v>Pending</v>
      </c>
      <c r="S381" t="str">
        <f t="shared" si="29"/>
        <v>OK</v>
      </c>
    </row>
    <row r="382" spans="1:19" x14ac:dyDescent="0.25">
      <c r="A382" t="s">
        <v>407</v>
      </c>
      <c r="B382" t="s">
        <v>29</v>
      </c>
      <c r="C382" s="1">
        <v>44940</v>
      </c>
      <c r="D382" s="1">
        <v>44959</v>
      </c>
      <c r="E382" t="s">
        <v>24</v>
      </c>
      <c r="F382" t="s">
        <v>18</v>
      </c>
      <c r="G382">
        <v>1698</v>
      </c>
      <c r="H382" s="3">
        <v>100.97</v>
      </c>
      <c r="I382" s="3">
        <v>98.73</v>
      </c>
      <c r="J382">
        <v>52</v>
      </c>
      <c r="K382" t="s">
        <v>15</v>
      </c>
      <c r="L382">
        <f t="shared" si="25"/>
        <v>19</v>
      </c>
      <c r="M382" s="3">
        <f>Table1[[#This Row],[Quantity]]*Table1[[#This Row],[Negotiated_Price]]</f>
        <v>167643.54</v>
      </c>
      <c r="N382" s="3">
        <f>Table1[[#This Row],[Quantity]]*Table1[[#This Row],[Unit_Price]]</f>
        <v>171447.06</v>
      </c>
      <c r="O382" s="3">
        <f>Table1[[#This Row],[ Original_Spend ]]-Table1[[#This Row],[ Total_Spend ]]</f>
        <v>3803.5199999999895</v>
      </c>
      <c r="P382" s="2">
        <f t="shared" si="26"/>
        <v>2.2184807368525242E-2</v>
      </c>
      <c r="Q382" s="2">
        <f t="shared" si="27"/>
        <v>3.0624263839811542E-2</v>
      </c>
      <c r="R382" t="str">
        <f t="shared" si="28"/>
        <v>Late</v>
      </c>
      <c r="S382" t="str">
        <f t="shared" si="29"/>
        <v>OK</v>
      </c>
    </row>
    <row r="383" spans="1:19" x14ac:dyDescent="0.25">
      <c r="A383" t="s">
        <v>408</v>
      </c>
      <c r="B383" t="s">
        <v>20</v>
      </c>
      <c r="C383" s="1">
        <v>44853</v>
      </c>
      <c r="D383" s="1">
        <v>44866</v>
      </c>
      <c r="E383" t="s">
        <v>13</v>
      </c>
      <c r="F383" t="s">
        <v>18</v>
      </c>
      <c r="G383">
        <v>1493</v>
      </c>
      <c r="H383" s="3">
        <v>24.87</v>
      </c>
      <c r="I383" s="3">
        <v>22.89</v>
      </c>
      <c r="J383">
        <v>56</v>
      </c>
      <c r="K383" t="s">
        <v>15</v>
      </c>
      <c r="L383">
        <f t="shared" si="25"/>
        <v>13</v>
      </c>
      <c r="M383" s="3">
        <f>Table1[[#This Row],[Quantity]]*Table1[[#This Row],[Negotiated_Price]]</f>
        <v>34174.770000000004</v>
      </c>
      <c r="N383" s="3">
        <f>Table1[[#This Row],[Quantity]]*Table1[[#This Row],[Unit_Price]]</f>
        <v>37130.910000000003</v>
      </c>
      <c r="O383" s="3">
        <f>Table1[[#This Row],[ Original_Spend ]]-Table1[[#This Row],[ Total_Spend ]]</f>
        <v>2956.1399999999994</v>
      </c>
      <c r="P383" s="2">
        <f t="shared" si="26"/>
        <v>7.9613992762364277E-2</v>
      </c>
      <c r="Q383" s="2">
        <f t="shared" si="27"/>
        <v>3.7508372404554589E-2</v>
      </c>
      <c r="R383" t="str">
        <f t="shared" si="28"/>
        <v>Late</v>
      </c>
      <c r="S383" t="str">
        <f t="shared" si="29"/>
        <v>OK</v>
      </c>
    </row>
    <row r="384" spans="1:19" x14ac:dyDescent="0.25">
      <c r="A384" t="s">
        <v>409</v>
      </c>
      <c r="B384" t="s">
        <v>12</v>
      </c>
      <c r="C384" s="1">
        <v>44723</v>
      </c>
      <c r="D384" s="1">
        <v>44737</v>
      </c>
      <c r="E384" t="s">
        <v>24</v>
      </c>
      <c r="F384" t="s">
        <v>18</v>
      </c>
      <c r="G384">
        <v>1495</v>
      </c>
      <c r="H384" s="3">
        <v>64.33</v>
      </c>
      <c r="I384" s="3">
        <v>58.18</v>
      </c>
      <c r="J384">
        <v>26</v>
      </c>
      <c r="K384" t="s">
        <v>15</v>
      </c>
      <c r="L384">
        <f t="shared" si="25"/>
        <v>14</v>
      </c>
      <c r="M384" s="3">
        <f>Table1[[#This Row],[Quantity]]*Table1[[#This Row],[Negotiated_Price]]</f>
        <v>86979.1</v>
      </c>
      <c r="N384" s="3">
        <f>Table1[[#This Row],[Quantity]]*Table1[[#This Row],[Unit_Price]]</f>
        <v>96173.349999999991</v>
      </c>
      <c r="O384" s="3">
        <f>Table1[[#This Row],[ Original_Spend ]]-Table1[[#This Row],[ Total_Spend ]]</f>
        <v>9194.2499999999854</v>
      </c>
      <c r="P384" s="2">
        <f t="shared" si="26"/>
        <v>9.5600808332037782E-2</v>
      </c>
      <c r="Q384" s="2">
        <f t="shared" si="27"/>
        <v>1.7391304347826087E-2</v>
      </c>
      <c r="R384" t="str">
        <f t="shared" si="28"/>
        <v>Late</v>
      </c>
      <c r="S384" t="str">
        <f t="shared" si="29"/>
        <v>OK</v>
      </c>
    </row>
    <row r="385" spans="1:19" x14ac:dyDescent="0.25">
      <c r="A385" t="s">
        <v>410</v>
      </c>
      <c r="B385" t="s">
        <v>12</v>
      </c>
      <c r="C385" s="1">
        <v>45010</v>
      </c>
      <c r="D385" s="1">
        <v>45023</v>
      </c>
      <c r="E385" t="s">
        <v>24</v>
      </c>
      <c r="F385" t="s">
        <v>14</v>
      </c>
      <c r="G385">
        <v>153</v>
      </c>
      <c r="H385" s="3">
        <v>59.42</v>
      </c>
      <c r="I385" s="3">
        <v>52</v>
      </c>
      <c r="J385">
        <v>3</v>
      </c>
      <c r="K385" t="s">
        <v>15</v>
      </c>
      <c r="L385">
        <f t="shared" si="25"/>
        <v>13</v>
      </c>
      <c r="M385" s="3">
        <f>Table1[[#This Row],[Quantity]]*Table1[[#This Row],[Negotiated_Price]]</f>
        <v>7956</v>
      </c>
      <c r="N385" s="3">
        <f>Table1[[#This Row],[Quantity]]*Table1[[#This Row],[Unit_Price]]</f>
        <v>9091.26</v>
      </c>
      <c r="O385" s="3">
        <f>Table1[[#This Row],[ Original_Spend ]]-Table1[[#This Row],[ Total_Spend ]]</f>
        <v>1135.2600000000002</v>
      </c>
      <c r="P385" s="2">
        <f t="shared" si="26"/>
        <v>0.12487377987209695</v>
      </c>
      <c r="Q385" s="2">
        <f t="shared" si="27"/>
        <v>1.9607843137254902E-2</v>
      </c>
      <c r="R385" t="str">
        <f t="shared" si="28"/>
        <v>Cancelled</v>
      </c>
      <c r="S385" t="str">
        <f t="shared" si="29"/>
        <v>Status-Date Conflict</v>
      </c>
    </row>
    <row r="386" spans="1:19" x14ac:dyDescent="0.25">
      <c r="A386" t="s">
        <v>411</v>
      </c>
      <c r="B386" t="s">
        <v>17</v>
      </c>
      <c r="C386" s="1">
        <v>45118</v>
      </c>
      <c r="D386" s="1">
        <v>45129</v>
      </c>
      <c r="E386" t="s">
        <v>26</v>
      </c>
      <c r="F386" t="s">
        <v>14</v>
      </c>
      <c r="G386">
        <v>1925</v>
      </c>
      <c r="H386" s="3">
        <v>70.88</v>
      </c>
      <c r="I386" s="3">
        <v>63.41</v>
      </c>
      <c r="J386">
        <v>292</v>
      </c>
      <c r="K386" t="s">
        <v>15</v>
      </c>
      <c r="L386">
        <f t="shared" ref="L386:L449" si="30">IF(OR(C386="",D386=""),"",D386-C386)</f>
        <v>11</v>
      </c>
      <c r="M386" s="3">
        <f>Table1[[#This Row],[Quantity]]*Table1[[#This Row],[Negotiated_Price]]</f>
        <v>122064.25</v>
      </c>
      <c r="N386" s="3">
        <f>Table1[[#This Row],[Quantity]]*Table1[[#This Row],[Unit_Price]]</f>
        <v>136444</v>
      </c>
      <c r="O386" s="3">
        <f>Table1[[#This Row],[ Original_Spend ]]-Table1[[#This Row],[ Total_Spend ]]</f>
        <v>14379.75</v>
      </c>
      <c r="P386" s="2">
        <f t="shared" ref="P386:P449" si="31">IFERROR(O386/N386,0)</f>
        <v>0.10538939051918736</v>
      </c>
      <c r="Q386" s="2">
        <f t="shared" ref="Q386:Q449" si="32">IFERROR(J386/G386,0)</f>
        <v>0.15168831168831168</v>
      </c>
      <c r="R386" t="str">
        <f t="shared" si="28"/>
        <v>Cancelled</v>
      </c>
      <c r="S386" t="str">
        <f t="shared" si="29"/>
        <v>Status-Date Conflict</v>
      </c>
    </row>
    <row r="387" spans="1:19" x14ac:dyDescent="0.25">
      <c r="A387" t="s">
        <v>412</v>
      </c>
      <c r="B387" t="s">
        <v>23</v>
      </c>
      <c r="C387" s="1">
        <v>45282</v>
      </c>
      <c r="D387" s="1">
        <v>45302</v>
      </c>
      <c r="E387" t="s">
        <v>24</v>
      </c>
      <c r="F387" t="s">
        <v>18</v>
      </c>
      <c r="G387">
        <v>303</v>
      </c>
      <c r="H387" s="3">
        <v>12.97</v>
      </c>
      <c r="I387" s="3">
        <v>11.42</v>
      </c>
      <c r="K387" t="s">
        <v>27</v>
      </c>
      <c r="L387">
        <f t="shared" si="30"/>
        <v>20</v>
      </c>
      <c r="M387" s="3">
        <f>Table1[[#This Row],[Quantity]]*Table1[[#This Row],[Negotiated_Price]]</f>
        <v>3460.2599999999998</v>
      </c>
      <c r="N387" s="3">
        <f>Table1[[#This Row],[Quantity]]*Table1[[#This Row],[Unit_Price]]</f>
        <v>3929.9100000000003</v>
      </c>
      <c r="O387" s="3">
        <f>Table1[[#This Row],[ Original_Spend ]]-Table1[[#This Row],[ Total_Spend ]]</f>
        <v>469.65000000000055</v>
      </c>
      <c r="P387" s="2">
        <f t="shared" si="31"/>
        <v>0.11950655358519674</v>
      </c>
      <c r="Q387" s="2">
        <f t="shared" si="32"/>
        <v>0</v>
      </c>
      <c r="R387" t="str">
        <f t="shared" ref="R387:R450" si="33">IF(F387&lt;&gt;"Delivered",F387,IF(D387="","Missing Delivery Date",IF(L387&lt;=10,"On Time","Late")))</f>
        <v>Late</v>
      </c>
      <c r="S387" t="str">
        <f t="shared" ref="S387:S450" si="34">IF(AND(F387&lt;&gt;"Delivered",D387&lt;&gt;""),"Status-Date Conflict",IF(AND(F387="Delivered",D387=""),"Missing Delivery Date","OK"))</f>
        <v>OK</v>
      </c>
    </row>
    <row r="388" spans="1:19" x14ac:dyDescent="0.25">
      <c r="A388" t="s">
        <v>413</v>
      </c>
      <c r="B388" t="s">
        <v>12</v>
      </c>
      <c r="C388" s="1">
        <v>44871</v>
      </c>
      <c r="D388" s="1">
        <v>44883</v>
      </c>
      <c r="E388" t="s">
        <v>13</v>
      </c>
      <c r="F388" t="s">
        <v>18</v>
      </c>
      <c r="G388">
        <v>1300</v>
      </c>
      <c r="H388" s="3">
        <v>92.92</v>
      </c>
      <c r="I388" s="3">
        <v>90.63</v>
      </c>
      <c r="K388" t="s">
        <v>15</v>
      </c>
      <c r="L388">
        <f t="shared" si="30"/>
        <v>12</v>
      </c>
      <c r="M388" s="3">
        <f>Table1[[#This Row],[Quantity]]*Table1[[#This Row],[Negotiated_Price]]</f>
        <v>117819</v>
      </c>
      <c r="N388" s="3">
        <f>Table1[[#This Row],[Quantity]]*Table1[[#This Row],[Unit_Price]]</f>
        <v>120796</v>
      </c>
      <c r="O388" s="3">
        <f>Table1[[#This Row],[ Original_Spend ]]-Table1[[#This Row],[ Total_Spend ]]</f>
        <v>2977</v>
      </c>
      <c r="P388" s="2">
        <f t="shared" si="31"/>
        <v>2.4644855789926819E-2</v>
      </c>
      <c r="Q388" s="2">
        <f t="shared" si="32"/>
        <v>0</v>
      </c>
      <c r="R388" t="str">
        <f t="shared" si="33"/>
        <v>Late</v>
      </c>
      <c r="S388" t="str">
        <f t="shared" si="34"/>
        <v>OK</v>
      </c>
    </row>
    <row r="389" spans="1:19" x14ac:dyDescent="0.25">
      <c r="A389" t="s">
        <v>414</v>
      </c>
      <c r="B389" t="s">
        <v>20</v>
      </c>
      <c r="C389" s="1">
        <v>45188</v>
      </c>
      <c r="D389" s="1">
        <v>45192</v>
      </c>
      <c r="E389" t="s">
        <v>26</v>
      </c>
      <c r="F389" t="s">
        <v>18</v>
      </c>
      <c r="G389">
        <v>1185</v>
      </c>
      <c r="H389" s="3">
        <v>103.28</v>
      </c>
      <c r="I389" s="3">
        <v>99.05</v>
      </c>
      <c r="K389" t="s">
        <v>15</v>
      </c>
      <c r="L389">
        <f t="shared" si="30"/>
        <v>4</v>
      </c>
      <c r="M389" s="3">
        <f>Table1[[#This Row],[Quantity]]*Table1[[#This Row],[Negotiated_Price]]</f>
        <v>117374.25</v>
      </c>
      <c r="N389" s="3">
        <f>Table1[[#This Row],[Quantity]]*Table1[[#This Row],[Unit_Price]]</f>
        <v>122386.8</v>
      </c>
      <c r="O389" s="3">
        <f>Table1[[#This Row],[ Original_Spend ]]-Table1[[#This Row],[ Total_Spend ]]</f>
        <v>5012.5500000000029</v>
      </c>
      <c r="P389" s="2">
        <f t="shared" si="31"/>
        <v>4.0956622773044175E-2</v>
      </c>
      <c r="Q389" s="2">
        <f t="shared" si="32"/>
        <v>0</v>
      </c>
      <c r="R389" t="str">
        <f t="shared" si="33"/>
        <v>On Time</v>
      </c>
      <c r="S389" t="str">
        <f t="shared" si="34"/>
        <v>OK</v>
      </c>
    </row>
    <row r="390" spans="1:19" x14ac:dyDescent="0.25">
      <c r="A390" t="s">
        <v>415</v>
      </c>
      <c r="B390" t="s">
        <v>29</v>
      </c>
      <c r="C390" s="1">
        <v>45231</v>
      </c>
      <c r="D390" s="1">
        <v>45250</v>
      </c>
      <c r="E390" t="s">
        <v>26</v>
      </c>
      <c r="F390" t="s">
        <v>18</v>
      </c>
      <c r="G390">
        <v>559</v>
      </c>
      <c r="H390" s="3">
        <v>67.56</v>
      </c>
      <c r="I390" s="3">
        <v>57.98</v>
      </c>
      <c r="J390">
        <v>15</v>
      </c>
      <c r="K390" t="s">
        <v>15</v>
      </c>
      <c r="L390">
        <f t="shared" si="30"/>
        <v>19</v>
      </c>
      <c r="M390" s="3">
        <f>Table1[[#This Row],[Quantity]]*Table1[[#This Row],[Negotiated_Price]]</f>
        <v>32410.82</v>
      </c>
      <c r="N390" s="3">
        <f>Table1[[#This Row],[Quantity]]*Table1[[#This Row],[Unit_Price]]</f>
        <v>37766.04</v>
      </c>
      <c r="O390" s="3">
        <f>Table1[[#This Row],[ Original_Spend ]]-Table1[[#This Row],[ Total_Spend ]]</f>
        <v>5355.2200000000012</v>
      </c>
      <c r="P390" s="2">
        <f t="shared" si="31"/>
        <v>0.14179988158673773</v>
      </c>
      <c r="Q390" s="2">
        <f t="shared" si="32"/>
        <v>2.6833631484794274E-2</v>
      </c>
      <c r="R390" t="str">
        <f t="shared" si="33"/>
        <v>Late</v>
      </c>
      <c r="S390" t="str">
        <f t="shared" si="34"/>
        <v>OK</v>
      </c>
    </row>
    <row r="391" spans="1:19" x14ac:dyDescent="0.25">
      <c r="A391" t="s">
        <v>416</v>
      </c>
      <c r="B391" t="s">
        <v>29</v>
      </c>
      <c r="C391" s="1">
        <v>45103</v>
      </c>
      <c r="D391" s="1">
        <v>45106</v>
      </c>
      <c r="E391" t="s">
        <v>39</v>
      </c>
      <c r="F391" t="s">
        <v>35</v>
      </c>
      <c r="G391">
        <v>1546</v>
      </c>
      <c r="H391" s="3">
        <v>78.88</v>
      </c>
      <c r="I391" s="3">
        <v>78</v>
      </c>
      <c r="J391">
        <v>38</v>
      </c>
      <c r="K391" t="s">
        <v>15</v>
      </c>
      <c r="L391">
        <f t="shared" si="30"/>
        <v>3</v>
      </c>
      <c r="M391" s="3">
        <f>Table1[[#This Row],[Quantity]]*Table1[[#This Row],[Negotiated_Price]]</f>
        <v>120588</v>
      </c>
      <c r="N391" s="3">
        <f>Table1[[#This Row],[Quantity]]*Table1[[#This Row],[Unit_Price]]</f>
        <v>121948.48</v>
      </c>
      <c r="O391" s="3">
        <f>Table1[[#This Row],[ Original_Spend ]]-Table1[[#This Row],[ Total_Spend ]]</f>
        <v>1360.4799999999959</v>
      </c>
      <c r="P391" s="2">
        <f t="shared" si="31"/>
        <v>1.1156186612576032E-2</v>
      </c>
      <c r="Q391" s="2">
        <f t="shared" si="32"/>
        <v>2.4579560155239329E-2</v>
      </c>
      <c r="R391" t="str">
        <f t="shared" si="33"/>
        <v>Pending</v>
      </c>
      <c r="S391" t="str">
        <f t="shared" si="34"/>
        <v>Status-Date Conflict</v>
      </c>
    </row>
    <row r="392" spans="1:19" x14ac:dyDescent="0.25">
      <c r="A392" t="s">
        <v>417</v>
      </c>
      <c r="B392" t="s">
        <v>29</v>
      </c>
      <c r="C392" s="1">
        <v>44570</v>
      </c>
      <c r="D392" s="1">
        <v>44580</v>
      </c>
      <c r="E392" t="s">
        <v>24</v>
      </c>
      <c r="F392" t="s">
        <v>18</v>
      </c>
      <c r="G392">
        <v>148</v>
      </c>
      <c r="H392" s="3">
        <v>93.02</v>
      </c>
      <c r="I392" s="3">
        <v>85.96</v>
      </c>
      <c r="J392">
        <v>4</v>
      </c>
      <c r="K392" t="s">
        <v>15</v>
      </c>
      <c r="L392">
        <f t="shared" si="30"/>
        <v>10</v>
      </c>
      <c r="M392" s="3">
        <f>Table1[[#This Row],[Quantity]]*Table1[[#This Row],[Negotiated_Price]]</f>
        <v>12722.08</v>
      </c>
      <c r="N392" s="3">
        <f>Table1[[#This Row],[Quantity]]*Table1[[#This Row],[Unit_Price]]</f>
        <v>13766.96</v>
      </c>
      <c r="O392" s="3">
        <f>Table1[[#This Row],[ Original_Spend ]]-Table1[[#This Row],[ Total_Spend ]]</f>
        <v>1044.8799999999992</v>
      </c>
      <c r="P392" s="2">
        <f t="shared" si="31"/>
        <v>7.5897656417974579E-2</v>
      </c>
      <c r="Q392" s="2">
        <f t="shared" si="32"/>
        <v>2.7027027027027029E-2</v>
      </c>
      <c r="R392" t="str">
        <f t="shared" si="33"/>
        <v>On Time</v>
      </c>
      <c r="S392" t="str">
        <f t="shared" si="34"/>
        <v>OK</v>
      </c>
    </row>
    <row r="393" spans="1:19" x14ac:dyDescent="0.25">
      <c r="A393" t="s">
        <v>418</v>
      </c>
      <c r="B393" t="s">
        <v>17</v>
      </c>
      <c r="C393" s="1">
        <v>45245</v>
      </c>
      <c r="D393" s="1">
        <v>45253</v>
      </c>
      <c r="E393" t="s">
        <v>13</v>
      </c>
      <c r="F393" t="s">
        <v>18</v>
      </c>
      <c r="G393">
        <v>202</v>
      </c>
      <c r="H393" s="3">
        <v>81.75</v>
      </c>
      <c r="I393" s="3">
        <v>78.260000000000005</v>
      </c>
      <c r="J393">
        <v>37</v>
      </c>
      <c r="K393" t="s">
        <v>27</v>
      </c>
      <c r="L393">
        <f t="shared" si="30"/>
        <v>8</v>
      </c>
      <c r="M393" s="3">
        <f>Table1[[#This Row],[Quantity]]*Table1[[#This Row],[Negotiated_Price]]</f>
        <v>15808.52</v>
      </c>
      <c r="N393" s="3">
        <f>Table1[[#This Row],[Quantity]]*Table1[[#This Row],[Unit_Price]]</f>
        <v>16513.5</v>
      </c>
      <c r="O393" s="3">
        <f>Table1[[#This Row],[ Original_Spend ]]-Table1[[#This Row],[ Total_Spend ]]</f>
        <v>704.97999999999956</v>
      </c>
      <c r="P393" s="2">
        <f t="shared" si="31"/>
        <v>4.2691131498470924E-2</v>
      </c>
      <c r="Q393" s="2">
        <f t="shared" si="32"/>
        <v>0.18316831683168316</v>
      </c>
      <c r="R393" t="str">
        <f t="shared" si="33"/>
        <v>On Time</v>
      </c>
      <c r="S393" t="str">
        <f t="shared" si="34"/>
        <v>OK</v>
      </c>
    </row>
    <row r="394" spans="1:19" x14ac:dyDescent="0.25">
      <c r="A394" t="s">
        <v>419</v>
      </c>
      <c r="B394" t="s">
        <v>20</v>
      </c>
      <c r="C394" s="1">
        <v>45129</v>
      </c>
      <c r="D394" s="1">
        <v>45135</v>
      </c>
      <c r="E394" t="s">
        <v>24</v>
      </c>
      <c r="F394" t="s">
        <v>18</v>
      </c>
      <c r="G394">
        <v>1934</v>
      </c>
      <c r="H394" s="3">
        <v>25.86</v>
      </c>
      <c r="I394" s="3">
        <v>25.6</v>
      </c>
      <c r="J394">
        <v>78</v>
      </c>
      <c r="K394" t="s">
        <v>15</v>
      </c>
      <c r="L394">
        <f t="shared" si="30"/>
        <v>6</v>
      </c>
      <c r="M394" s="3">
        <f>Table1[[#This Row],[Quantity]]*Table1[[#This Row],[Negotiated_Price]]</f>
        <v>49510.400000000001</v>
      </c>
      <c r="N394" s="3">
        <f>Table1[[#This Row],[Quantity]]*Table1[[#This Row],[Unit_Price]]</f>
        <v>50013.24</v>
      </c>
      <c r="O394" s="3">
        <f>Table1[[#This Row],[ Original_Spend ]]-Table1[[#This Row],[ Total_Spend ]]</f>
        <v>502.83999999999651</v>
      </c>
      <c r="P394" s="2">
        <f t="shared" si="31"/>
        <v>1.0054137664346412E-2</v>
      </c>
      <c r="Q394" s="2">
        <f t="shared" si="32"/>
        <v>4.0330920372285417E-2</v>
      </c>
      <c r="R394" t="str">
        <f t="shared" si="33"/>
        <v>On Time</v>
      </c>
      <c r="S394" t="str">
        <f t="shared" si="34"/>
        <v>OK</v>
      </c>
    </row>
    <row r="395" spans="1:19" x14ac:dyDescent="0.25">
      <c r="A395" t="s">
        <v>420</v>
      </c>
      <c r="B395" t="s">
        <v>12</v>
      </c>
      <c r="C395" s="1">
        <v>44868</v>
      </c>
      <c r="D395" s="1">
        <v>44872</v>
      </c>
      <c r="E395" t="s">
        <v>13</v>
      </c>
      <c r="F395" t="s">
        <v>18</v>
      </c>
      <c r="G395">
        <v>963</v>
      </c>
      <c r="H395" s="3">
        <v>64.959999999999994</v>
      </c>
      <c r="I395" s="3">
        <v>64.069999999999993</v>
      </c>
      <c r="J395">
        <v>20</v>
      </c>
      <c r="K395" t="s">
        <v>15</v>
      </c>
      <c r="L395">
        <f t="shared" si="30"/>
        <v>4</v>
      </c>
      <c r="M395" s="3">
        <f>Table1[[#This Row],[Quantity]]*Table1[[#This Row],[Negotiated_Price]]</f>
        <v>61699.409999999996</v>
      </c>
      <c r="N395" s="3">
        <f>Table1[[#This Row],[Quantity]]*Table1[[#This Row],[Unit_Price]]</f>
        <v>62556.479999999996</v>
      </c>
      <c r="O395" s="3">
        <f>Table1[[#This Row],[ Original_Spend ]]-Table1[[#This Row],[ Total_Spend ]]</f>
        <v>857.06999999999971</v>
      </c>
      <c r="P395" s="2">
        <f t="shared" si="31"/>
        <v>1.3700738916256153E-2</v>
      </c>
      <c r="Q395" s="2">
        <f t="shared" si="32"/>
        <v>2.0768431983385256E-2</v>
      </c>
      <c r="R395" t="str">
        <f t="shared" si="33"/>
        <v>On Time</v>
      </c>
      <c r="S395" t="str">
        <f t="shared" si="34"/>
        <v>OK</v>
      </c>
    </row>
    <row r="396" spans="1:19" x14ac:dyDescent="0.25">
      <c r="A396" t="s">
        <v>421</v>
      </c>
      <c r="B396" t="s">
        <v>20</v>
      </c>
      <c r="C396" s="1">
        <v>45241</v>
      </c>
      <c r="D396" s="1">
        <v>45248</v>
      </c>
      <c r="E396" t="s">
        <v>21</v>
      </c>
      <c r="F396" t="s">
        <v>18</v>
      </c>
      <c r="G396">
        <v>1969</v>
      </c>
      <c r="H396" s="3">
        <v>71.709999999999994</v>
      </c>
      <c r="I396" s="3">
        <v>61.96</v>
      </c>
      <c r="K396" t="s">
        <v>15</v>
      </c>
      <c r="L396">
        <f t="shared" si="30"/>
        <v>7</v>
      </c>
      <c r="M396" s="3">
        <f>Table1[[#This Row],[Quantity]]*Table1[[#This Row],[Negotiated_Price]]</f>
        <v>121999.24</v>
      </c>
      <c r="N396" s="3">
        <f>Table1[[#This Row],[Quantity]]*Table1[[#This Row],[Unit_Price]]</f>
        <v>141196.99</v>
      </c>
      <c r="O396" s="3">
        <f>Table1[[#This Row],[ Original_Spend ]]-Table1[[#This Row],[ Total_Spend ]]</f>
        <v>19197.749999999985</v>
      </c>
      <c r="P396" s="2">
        <f t="shared" si="31"/>
        <v>0.13596430065541756</v>
      </c>
      <c r="Q396" s="2">
        <f t="shared" si="32"/>
        <v>0</v>
      </c>
      <c r="R396" t="str">
        <f t="shared" si="33"/>
        <v>On Time</v>
      </c>
      <c r="S396" t="str">
        <f t="shared" si="34"/>
        <v>OK</v>
      </c>
    </row>
    <row r="397" spans="1:19" x14ac:dyDescent="0.25">
      <c r="A397" t="s">
        <v>422</v>
      </c>
      <c r="B397" t="s">
        <v>17</v>
      </c>
      <c r="C397" s="1">
        <v>44668</v>
      </c>
      <c r="E397" t="s">
        <v>39</v>
      </c>
      <c r="F397" t="s">
        <v>18</v>
      </c>
      <c r="G397">
        <v>927</v>
      </c>
      <c r="H397" s="3">
        <v>48.89</v>
      </c>
      <c r="I397" s="3">
        <v>46.05</v>
      </c>
      <c r="J397">
        <v>138</v>
      </c>
      <c r="K397" t="s">
        <v>15</v>
      </c>
      <c r="L397" t="str">
        <f t="shared" si="30"/>
        <v/>
      </c>
      <c r="M397" s="3">
        <f>Table1[[#This Row],[Quantity]]*Table1[[#This Row],[Negotiated_Price]]</f>
        <v>42688.35</v>
      </c>
      <c r="N397" s="3">
        <f>Table1[[#This Row],[Quantity]]*Table1[[#This Row],[Unit_Price]]</f>
        <v>45321.03</v>
      </c>
      <c r="O397" s="3">
        <f>Table1[[#This Row],[ Original_Spend ]]-Table1[[#This Row],[ Total_Spend ]]</f>
        <v>2632.6800000000003</v>
      </c>
      <c r="P397" s="2">
        <f t="shared" si="31"/>
        <v>5.8089588872980165E-2</v>
      </c>
      <c r="Q397" s="2">
        <f t="shared" si="32"/>
        <v>0.14886731391585761</v>
      </c>
      <c r="R397" t="str">
        <f t="shared" si="33"/>
        <v>Missing Delivery Date</v>
      </c>
      <c r="S397" t="str">
        <f t="shared" si="34"/>
        <v>Missing Delivery Date</v>
      </c>
    </row>
    <row r="398" spans="1:19" x14ac:dyDescent="0.25">
      <c r="A398" t="s">
        <v>423</v>
      </c>
      <c r="B398" t="s">
        <v>17</v>
      </c>
      <c r="C398" s="1">
        <v>44699</v>
      </c>
      <c r="D398" s="1">
        <v>44704</v>
      </c>
      <c r="E398" t="s">
        <v>26</v>
      </c>
      <c r="F398" t="s">
        <v>14</v>
      </c>
      <c r="G398">
        <v>387</v>
      </c>
      <c r="H398" s="3">
        <v>77.81</v>
      </c>
      <c r="I398" s="3">
        <v>69.040000000000006</v>
      </c>
      <c r="J398">
        <v>67</v>
      </c>
      <c r="K398" t="s">
        <v>15</v>
      </c>
      <c r="L398">
        <f t="shared" si="30"/>
        <v>5</v>
      </c>
      <c r="M398" s="3">
        <f>Table1[[#This Row],[Quantity]]*Table1[[#This Row],[Negotiated_Price]]</f>
        <v>26718.480000000003</v>
      </c>
      <c r="N398" s="3">
        <f>Table1[[#This Row],[Quantity]]*Table1[[#This Row],[Unit_Price]]</f>
        <v>30112.47</v>
      </c>
      <c r="O398" s="3">
        <f>Table1[[#This Row],[ Original_Spend ]]-Table1[[#This Row],[ Total_Spend ]]</f>
        <v>3393.989999999998</v>
      </c>
      <c r="P398" s="2">
        <f t="shared" si="31"/>
        <v>0.11271044852846671</v>
      </c>
      <c r="Q398" s="2">
        <f t="shared" si="32"/>
        <v>0.1731266149870801</v>
      </c>
      <c r="R398" t="str">
        <f t="shared" si="33"/>
        <v>Cancelled</v>
      </c>
      <c r="S398" t="str">
        <f t="shared" si="34"/>
        <v>Status-Date Conflict</v>
      </c>
    </row>
    <row r="399" spans="1:19" x14ac:dyDescent="0.25">
      <c r="A399" t="s">
        <v>424</v>
      </c>
      <c r="B399" t="s">
        <v>23</v>
      </c>
      <c r="C399" s="1">
        <v>44832</v>
      </c>
      <c r="D399" s="1">
        <v>44837</v>
      </c>
      <c r="E399" t="s">
        <v>39</v>
      </c>
      <c r="F399" t="s">
        <v>18</v>
      </c>
      <c r="G399">
        <v>1779</v>
      </c>
      <c r="H399" s="3">
        <v>97.86</v>
      </c>
      <c r="I399" s="3">
        <v>94.36</v>
      </c>
      <c r="J399">
        <v>176</v>
      </c>
      <c r="K399" t="s">
        <v>15</v>
      </c>
      <c r="L399">
        <f t="shared" si="30"/>
        <v>5</v>
      </c>
      <c r="M399" s="3">
        <f>Table1[[#This Row],[Quantity]]*Table1[[#This Row],[Negotiated_Price]]</f>
        <v>167866.44</v>
      </c>
      <c r="N399" s="3">
        <f>Table1[[#This Row],[Quantity]]*Table1[[#This Row],[Unit_Price]]</f>
        <v>174092.94</v>
      </c>
      <c r="O399" s="3">
        <f>Table1[[#This Row],[ Original_Spend ]]-Table1[[#This Row],[ Total_Spend ]]</f>
        <v>6226.5</v>
      </c>
      <c r="P399" s="2">
        <f t="shared" si="31"/>
        <v>3.5765379113018594E-2</v>
      </c>
      <c r="Q399" s="2">
        <f t="shared" si="32"/>
        <v>9.8931984260820685E-2</v>
      </c>
      <c r="R399" t="str">
        <f t="shared" si="33"/>
        <v>On Time</v>
      </c>
      <c r="S399" t="str">
        <f t="shared" si="34"/>
        <v>OK</v>
      </c>
    </row>
    <row r="400" spans="1:19" x14ac:dyDescent="0.25">
      <c r="A400" t="s">
        <v>425</v>
      </c>
      <c r="B400" t="s">
        <v>20</v>
      </c>
      <c r="C400" s="1">
        <v>44680</v>
      </c>
      <c r="D400" s="1">
        <v>44686</v>
      </c>
      <c r="E400" t="s">
        <v>21</v>
      </c>
      <c r="F400" t="s">
        <v>35</v>
      </c>
      <c r="G400">
        <v>871</v>
      </c>
      <c r="H400" s="3">
        <v>94.7</v>
      </c>
      <c r="I400" s="3">
        <v>92.66</v>
      </c>
      <c r="J400">
        <v>46</v>
      </c>
      <c r="K400" t="s">
        <v>15</v>
      </c>
      <c r="L400">
        <f t="shared" si="30"/>
        <v>6</v>
      </c>
      <c r="M400" s="3">
        <f>Table1[[#This Row],[Quantity]]*Table1[[#This Row],[Negotiated_Price]]</f>
        <v>80706.86</v>
      </c>
      <c r="N400" s="3">
        <f>Table1[[#This Row],[Quantity]]*Table1[[#This Row],[Unit_Price]]</f>
        <v>82483.7</v>
      </c>
      <c r="O400" s="3">
        <f>Table1[[#This Row],[ Original_Spend ]]-Table1[[#This Row],[ Total_Spend ]]</f>
        <v>1776.8399999999965</v>
      </c>
      <c r="P400" s="2">
        <f t="shared" si="31"/>
        <v>2.154171066525867E-2</v>
      </c>
      <c r="Q400" s="2">
        <f t="shared" si="32"/>
        <v>5.2812858783008038E-2</v>
      </c>
      <c r="R400" t="str">
        <f t="shared" si="33"/>
        <v>Pending</v>
      </c>
      <c r="S400" t="str">
        <f t="shared" si="34"/>
        <v>Status-Date Conflict</v>
      </c>
    </row>
    <row r="401" spans="1:19" x14ac:dyDescent="0.25">
      <c r="A401" t="s">
        <v>426</v>
      </c>
      <c r="B401" t="s">
        <v>29</v>
      </c>
      <c r="C401" s="1">
        <v>44671</v>
      </c>
      <c r="D401" s="1">
        <v>44674</v>
      </c>
      <c r="E401" t="s">
        <v>39</v>
      </c>
      <c r="F401" t="s">
        <v>18</v>
      </c>
      <c r="G401">
        <v>1236</v>
      </c>
      <c r="H401" s="3">
        <v>51.33</v>
      </c>
      <c r="I401" s="3">
        <v>44.03</v>
      </c>
      <c r="J401">
        <v>25</v>
      </c>
      <c r="K401" t="s">
        <v>15</v>
      </c>
      <c r="L401">
        <f t="shared" si="30"/>
        <v>3</v>
      </c>
      <c r="M401" s="3">
        <f>Table1[[#This Row],[Quantity]]*Table1[[#This Row],[Negotiated_Price]]</f>
        <v>54421.08</v>
      </c>
      <c r="N401" s="3">
        <f>Table1[[#This Row],[Quantity]]*Table1[[#This Row],[Unit_Price]]</f>
        <v>63443.88</v>
      </c>
      <c r="O401" s="3">
        <f>Table1[[#This Row],[ Original_Spend ]]-Table1[[#This Row],[ Total_Spend ]]</f>
        <v>9022.7999999999956</v>
      </c>
      <c r="P401" s="2">
        <f t="shared" si="31"/>
        <v>0.14221702707968042</v>
      </c>
      <c r="Q401" s="2">
        <f t="shared" si="32"/>
        <v>2.0226537216828478E-2</v>
      </c>
      <c r="R401" t="str">
        <f t="shared" si="33"/>
        <v>On Time</v>
      </c>
      <c r="S401" t="str">
        <f t="shared" si="34"/>
        <v>OK</v>
      </c>
    </row>
    <row r="402" spans="1:19" x14ac:dyDescent="0.25">
      <c r="A402" t="s">
        <v>427</v>
      </c>
      <c r="B402" t="s">
        <v>17</v>
      </c>
      <c r="C402" s="1">
        <v>45128</v>
      </c>
      <c r="D402" s="1">
        <v>45144</v>
      </c>
      <c r="E402" t="s">
        <v>39</v>
      </c>
      <c r="F402" t="s">
        <v>18</v>
      </c>
      <c r="G402">
        <v>1793</v>
      </c>
      <c r="H402" s="3">
        <v>22.01</v>
      </c>
      <c r="I402" s="3">
        <v>21.78</v>
      </c>
      <c r="J402">
        <v>285</v>
      </c>
      <c r="K402" t="s">
        <v>15</v>
      </c>
      <c r="L402">
        <f t="shared" si="30"/>
        <v>16</v>
      </c>
      <c r="M402" s="3">
        <f>Table1[[#This Row],[Quantity]]*Table1[[#This Row],[Negotiated_Price]]</f>
        <v>39051.54</v>
      </c>
      <c r="N402" s="3">
        <f>Table1[[#This Row],[Quantity]]*Table1[[#This Row],[Unit_Price]]</f>
        <v>39463.93</v>
      </c>
      <c r="O402" s="3">
        <f>Table1[[#This Row],[ Original_Spend ]]-Table1[[#This Row],[ Total_Spend ]]</f>
        <v>412.38999999999942</v>
      </c>
      <c r="P402" s="2">
        <f t="shared" si="31"/>
        <v>1.0449795547478404E-2</v>
      </c>
      <c r="Q402" s="2">
        <f t="shared" si="32"/>
        <v>0.15895147796988288</v>
      </c>
      <c r="R402" t="str">
        <f t="shared" si="33"/>
        <v>Late</v>
      </c>
      <c r="S402" t="str">
        <f t="shared" si="34"/>
        <v>OK</v>
      </c>
    </row>
    <row r="403" spans="1:19" x14ac:dyDescent="0.25">
      <c r="A403" t="s">
        <v>428</v>
      </c>
      <c r="B403" t="s">
        <v>17</v>
      </c>
      <c r="C403" s="1">
        <v>44721</v>
      </c>
      <c r="D403" s="1">
        <v>44740</v>
      </c>
      <c r="E403" t="s">
        <v>21</v>
      </c>
      <c r="F403" t="s">
        <v>18</v>
      </c>
      <c r="G403">
        <v>1006</v>
      </c>
      <c r="H403" s="3">
        <v>101.1</v>
      </c>
      <c r="I403" s="3">
        <v>89.04</v>
      </c>
      <c r="J403">
        <v>139</v>
      </c>
      <c r="K403" t="s">
        <v>15</v>
      </c>
      <c r="L403">
        <f t="shared" si="30"/>
        <v>19</v>
      </c>
      <c r="M403" s="3">
        <f>Table1[[#This Row],[Quantity]]*Table1[[#This Row],[Negotiated_Price]]</f>
        <v>89574.24</v>
      </c>
      <c r="N403" s="3">
        <f>Table1[[#This Row],[Quantity]]*Table1[[#This Row],[Unit_Price]]</f>
        <v>101706.59999999999</v>
      </c>
      <c r="O403" s="3">
        <f>Table1[[#This Row],[ Original_Spend ]]-Table1[[#This Row],[ Total_Spend ]]</f>
        <v>12132.359999999986</v>
      </c>
      <c r="P403" s="2">
        <f t="shared" si="31"/>
        <v>0.11928783382789304</v>
      </c>
      <c r="Q403" s="2">
        <f t="shared" si="32"/>
        <v>0.13817097415506957</v>
      </c>
      <c r="R403" t="str">
        <f t="shared" si="33"/>
        <v>Late</v>
      </c>
      <c r="S403" t="str">
        <f t="shared" si="34"/>
        <v>OK</v>
      </c>
    </row>
    <row r="404" spans="1:19" x14ac:dyDescent="0.25">
      <c r="A404" t="s">
        <v>429</v>
      </c>
      <c r="B404" t="s">
        <v>23</v>
      </c>
      <c r="C404" s="1">
        <v>44840</v>
      </c>
      <c r="D404" s="1">
        <v>44855</v>
      </c>
      <c r="E404" t="s">
        <v>39</v>
      </c>
      <c r="F404" t="s">
        <v>14</v>
      </c>
      <c r="G404">
        <v>1754</v>
      </c>
      <c r="H404" s="3">
        <v>89.35</v>
      </c>
      <c r="I404" s="3">
        <v>86.54</v>
      </c>
      <c r="J404">
        <v>161</v>
      </c>
      <c r="K404" t="s">
        <v>27</v>
      </c>
      <c r="L404">
        <f t="shared" si="30"/>
        <v>15</v>
      </c>
      <c r="M404" s="3">
        <f>Table1[[#This Row],[Quantity]]*Table1[[#This Row],[Negotiated_Price]]</f>
        <v>151791.16</v>
      </c>
      <c r="N404" s="3">
        <f>Table1[[#This Row],[Quantity]]*Table1[[#This Row],[Unit_Price]]</f>
        <v>156719.9</v>
      </c>
      <c r="O404" s="3">
        <f>Table1[[#This Row],[ Original_Spend ]]-Table1[[#This Row],[ Total_Spend ]]</f>
        <v>4928.7399999999907</v>
      </c>
      <c r="P404" s="2">
        <f t="shared" si="31"/>
        <v>3.1449356463346331E-2</v>
      </c>
      <c r="Q404" s="2">
        <f t="shared" si="32"/>
        <v>9.1790193842645376E-2</v>
      </c>
      <c r="R404" t="str">
        <f t="shared" si="33"/>
        <v>Cancelled</v>
      </c>
      <c r="S404" t="str">
        <f t="shared" si="34"/>
        <v>Status-Date Conflict</v>
      </c>
    </row>
    <row r="405" spans="1:19" x14ac:dyDescent="0.25">
      <c r="A405" t="s">
        <v>430</v>
      </c>
      <c r="B405" t="s">
        <v>29</v>
      </c>
      <c r="C405" s="1">
        <v>44850</v>
      </c>
      <c r="D405" s="1">
        <v>44869</v>
      </c>
      <c r="E405" t="s">
        <v>39</v>
      </c>
      <c r="F405" t="s">
        <v>18</v>
      </c>
      <c r="G405">
        <v>210</v>
      </c>
      <c r="H405" s="3">
        <v>22.17</v>
      </c>
      <c r="I405" s="3">
        <v>21.32</v>
      </c>
      <c r="J405">
        <v>10</v>
      </c>
      <c r="K405" t="s">
        <v>15</v>
      </c>
      <c r="L405">
        <f t="shared" si="30"/>
        <v>19</v>
      </c>
      <c r="M405" s="3">
        <f>Table1[[#This Row],[Quantity]]*Table1[[#This Row],[Negotiated_Price]]</f>
        <v>4477.2</v>
      </c>
      <c r="N405" s="3">
        <f>Table1[[#This Row],[Quantity]]*Table1[[#This Row],[Unit_Price]]</f>
        <v>4655.7000000000007</v>
      </c>
      <c r="O405" s="3">
        <f>Table1[[#This Row],[ Original_Spend ]]-Table1[[#This Row],[ Total_Spend ]]</f>
        <v>178.50000000000091</v>
      </c>
      <c r="P405" s="2">
        <f t="shared" si="31"/>
        <v>3.8340099233198206E-2</v>
      </c>
      <c r="Q405" s="2">
        <f t="shared" si="32"/>
        <v>4.7619047619047616E-2</v>
      </c>
      <c r="R405" t="str">
        <f t="shared" si="33"/>
        <v>Late</v>
      </c>
      <c r="S405" t="str">
        <f t="shared" si="34"/>
        <v>OK</v>
      </c>
    </row>
    <row r="406" spans="1:19" x14ac:dyDescent="0.25">
      <c r="A406" t="s">
        <v>431</v>
      </c>
      <c r="B406" t="s">
        <v>17</v>
      </c>
      <c r="C406" s="1">
        <v>45181</v>
      </c>
      <c r="D406" s="1">
        <v>45201</v>
      </c>
      <c r="E406" t="s">
        <v>21</v>
      </c>
      <c r="F406" t="s">
        <v>18</v>
      </c>
      <c r="G406">
        <v>1653</v>
      </c>
      <c r="H406" s="3">
        <v>102.16</v>
      </c>
      <c r="I406" s="3">
        <v>91.91</v>
      </c>
      <c r="J406">
        <v>217</v>
      </c>
      <c r="K406" t="s">
        <v>15</v>
      </c>
      <c r="L406">
        <f t="shared" si="30"/>
        <v>20</v>
      </c>
      <c r="M406" s="3">
        <f>Table1[[#This Row],[Quantity]]*Table1[[#This Row],[Negotiated_Price]]</f>
        <v>151927.22999999998</v>
      </c>
      <c r="N406" s="3">
        <f>Table1[[#This Row],[Quantity]]*Table1[[#This Row],[Unit_Price]]</f>
        <v>168870.47999999998</v>
      </c>
      <c r="O406" s="3">
        <f>Table1[[#This Row],[ Original_Spend ]]-Table1[[#This Row],[ Total_Spend ]]</f>
        <v>16943.25</v>
      </c>
      <c r="P406" s="2">
        <f t="shared" si="31"/>
        <v>0.10033281127642914</v>
      </c>
      <c r="Q406" s="2">
        <f t="shared" si="32"/>
        <v>0.13127646702964307</v>
      </c>
      <c r="R406" t="str">
        <f t="shared" si="33"/>
        <v>Late</v>
      </c>
      <c r="S406" t="str">
        <f t="shared" si="34"/>
        <v>OK</v>
      </c>
    </row>
    <row r="407" spans="1:19" x14ac:dyDescent="0.25">
      <c r="A407" t="s">
        <v>432</v>
      </c>
      <c r="B407" t="s">
        <v>12</v>
      </c>
      <c r="C407" s="1">
        <v>44777</v>
      </c>
      <c r="D407" s="1">
        <v>44788</v>
      </c>
      <c r="E407" t="s">
        <v>21</v>
      </c>
      <c r="F407" t="s">
        <v>33</v>
      </c>
      <c r="G407">
        <v>850</v>
      </c>
      <c r="H407" s="3">
        <v>91.38</v>
      </c>
      <c r="I407" s="3">
        <v>88.41</v>
      </c>
      <c r="J407">
        <v>24</v>
      </c>
      <c r="K407" t="s">
        <v>15</v>
      </c>
      <c r="L407">
        <f t="shared" si="30"/>
        <v>11</v>
      </c>
      <c r="M407" s="3">
        <f>Table1[[#This Row],[Quantity]]*Table1[[#This Row],[Negotiated_Price]]</f>
        <v>75148.5</v>
      </c>
      <c r="N407" s="3">
        <f>Table1[[#This Row],[Quantity]]*Table1[[#This Row],[Unit_Price]]</f>
        <v>77673</v>
      </c>
      <c r="O407" s="3">
        <f>Table1[[#This Row],[ Original_Spend ]]-Table1[[#This Row],[ Total_Spend ]]</f>
        <v>2524.5</v>
      </c>
      <c r="P407" s="2">
        <f t="shared" si="31"/>
        <v>3.2501641497045305E-2</v>
      </c>
      <c r="Q407" s="2">
        <f t="shared" si="32"/>
        <v>2.823529411764706E-2</v>
      </c>
      <c r="R407" t="str">
        <f t="shared" si="33"/>
        <v>Partially Delivered</v>
      </c>
      <c r="S407" t="str">
        <f t="shared" si="34"/>
        <v>Status-Date Conflict</v>
      </c>
    </row>
    <row r="408" spans="1:19" x14ac:dyDescent="0.25">
      <c r="A408" t="s">
        <v>433</v>
      </c>
      <c r="B408" t="s">
        <v>29</v>
      </c>
      <c r="C408" s="1">
        <v>44913</v>
      </c>
      <c r="D408" s="1">
        <v>44916</v>
      </c>
      <c r="E408" t="s">
        <v>26</v>
      </c>
      <c r="F408" t="s">
        <v>18</v>
      </c>
      <c r="G408">
        <v>447</v>
      </c>
      <c r="H408" s="3">
        <v>59.81</v>
      </c>
      <c r="I408" s="3">
        <v>57.92</v>
      </c>
      <c r="J408">
        <v>13</v>
      </c>
      <c r="K408" t="s">
        <v>15</v>
      </c>
      <c r="L408">
        <f t="shared" si="30"/>
        <v>3</v>
      </c>
      <c r="M408" s="3">
        <f>Table1[[#This Row],[Quantity]]*Table1[[#This Row],[Negotiated_Price]]</f>
        <v>25890.240000000002</v>
      </c>
      <c r="N408" s="3">
        <f>Table1[[#This Row],[Quantity]]*Table1[[#This Row],[Unit_Price]]</f>
        <v>26735.07</v>
      </c>
      <c r="O408" s="3">
        <f>Table1[[#This Row],[ Original_Spend ]]-Table1[[#This Row],[ Total_Spend ]]</f>
        <v>844.82999999999811</v>
      </c>
      <c r="P408" s="2">
        <f t="shared" si="31"/>
        <v>3.1600066878448352E-2</v>
      </c>
      <c r="Q408" s="2">
        <f t="shared" si="32"/>
        <v>2.9082774049217001E-2</v>
      </c>
      <c r="R408" t="str">
        <f t="shared" si="33"/>
        <v>On Time</v>
      </c>
      <c r="S408" t="str">
        <f t="shared" si="34"/>
        <v>OK</v>
      </c>
    </row>
    <row r="409" spans="1:19" x14ac:dyDescent="0.25">
      <c r="A409" t="s">
        <v>434</v>
      </c>
      <c r="B409" t="s">
        <v>20</v>
      </c>
      <c r="C409" s="1">
        <v>44770</v>
      </c>
      <c r="D409" s="1">
        <v>44780</v>
      </c>
      <c r="E409" t="s">
        <v>13</v>
      </c>
      <c r="F409" t="s">
        <v>18</v>
      </c>
      <c r="G409">
        <v>1350</v>
      </c>
      <c r="H409" s="3">
        <v>65.11</v>
      </c>
      <c r="I409" s="3">
        <v>56.95</v>
      </c>
      <c r="J409">
        <v>71</v>
      </c>
      <c r="K409" t="s">
        <v>15</v>
      </c>
      <c r="L409">
        <f t="shared" si="30"/>
        <v>10</v>
      </c>
      <c r="M409" s="3">
        <f>Table1[[#This Row],[Quantity]]*Table1[[#This Row],[Negotiated_Price]]</f>
        <v>76882.5</v>
      </c>
      <c r="N409" s="3">
        <f>Table1[[#This Row],[Quantity]]*Table1[[#This Row],[Unit_Price]]</f>
        <v>87898.5</v>
      </c>
      <c r="O409" s="3">
        <f>Table1[[#This Row],[ Original_Spend ]]-Table1[[#This Row],[ Total_Spend ]]</f>
        <v>11016</v>
      </c>
      <c r="P409" s="2">
        <f t="shared" si="31"/>
        <v>0.12532637075718014</v>
      </c>
      <c r="Q409" s="2">
        <f t="shared" si="32"/>
        <v>5.2592592592592594E-2</v>
      </c>
      <c r="R409" t="str">
        <f t="shared" si="33"/>
        <v>On Time</v>
      </c>
      <c r="S409" t="str">
        <f t="shared" si="34"/>
        <v>OK</v>
      </c>
    </row>
    <row r="410" spans="1:19" x14ac:dyDescent="0.25">
      <c r="A410" t="s">
        <v>435</v>
      </c>
      <c r="B410" t="s">
        <v>23</v>
      </c>
      <c r="C410" s="1">
        <v>45265</v>
      </c>
      <c r="D410" s="1">
        <v>45284</v>
      </c>
      <c r="E410" t="s">
        <v>13</v>
      </c>
      <c r="F410" t="s">
        <v>18</v>
      </c>
      <c r="G410">
        <v>865</v>
      </c>
      <c r="H410" s="3">
        <v>51.19</v>
      </c>
      <c r="I410" s="3">
        <v>47.76</v>
      </c>
      <c r="J410">
        <v>83</v>
      </c>
      <c r="K410" t="s">
        <v>15</v>
      </c>
      <c r="L410">
        <f t="shared" si="30"/>
        <v>19</v>
      </c>
      <c r="M410" s="3">
        <f>Table1[[#This Row],[Quantity]]*Table1[[#This Row],[Negotiated_Price]]</f>
        <v>41312.400000000001</v>
      </c>
      <c r="N410" s="3">
        <f>Table1[[#This Row],[Quantity]]*Table1[[#This Row],[Unit_Price]]</f>
        <v>44279.35</v>
      </c>
      <c r="O410" s="3">
        <f>Table1[[#This Row],[ Original_Spend ]]-Table1[[#This Row],[ Total_Spend ]]</f>
        <v>2966.9499999999971</v>
      </c>
      <c r="P410" s="2">
        <f t="shared" si="31"/>
        <v>6.7005274467669407E-2</v>
      </c>
      <c r="Q410" s="2">
        <f t="shared" si="32"/>
        <v>9.595375722543352E-2</v>
      </c>
      <c r="R410" t="str">
        <f t="shared" si="33"/>
        <v>Late</v>
      </c>
      <c r="S410" t="str">
        <f t="shared" si="34"/>
        <v>OK</v>
      </c>
    </row>
    <row r="411" spans="1:19" x14ac:dyDescent="0.25">
      <c r="A411" t="s">
        <v>436</v>
      </c>
      <c r="B411" t="s">
        <v>12</v>
      </c>
      <c r="C411" s="1">
        <v>45211</v>
      </c>
      <c r="D411" s="1">
        <v>45228</v>
      </c>
      <c r="E411" t="s">
        <v>21</v>
      </c>
      <c r="F411" t="s">
        <v>18</v>
      </c>
      <c r="G411">
        <v>1989</v>
      </c>
      <c r="H411" s="3">
        <v>16.5</v>
      </c>
      <c r="I411" s="3">
        <v>15.89</v>
      </c>
      <c r="J411">
        <v>57</v>
      </c>
      <c r="K411" t="s">
        <v>15</v>
      </c>
      <c r="L411">
        <f t="shared" si="30"/>
        <v>17</v>
      </c>
      <c r="M411" s="3">
        <f>Table1[[#This Row],[Quantity]]*Table1[[#This Row],[Negotiated_Price]]</f>
        <v>31605.210000000003</v>
      </c>
      <c r="N411" s="3">
        <f>Table1[[#This Row],[Quantity]]*Table1[[#This Row],[Unit_Price]]</f>
        <v>32818.5</v>
      </c>
      <c r="O411" s="3">
        <f>Table1[[#This Row],[ Original_Spend ]]-Table1[[#This Row],[ Total_Spend ]]</f>
        <v>1213.2899999999972</v>
      </c>
      <c r="P411" s="2">
        <f t="shared" si="31"/>
        <v>3.6969696969696889E-2</v>
      </c>
      <c r="Q411" s="2">
        <f t="shared" si="32"/>
        <v>2.8657616892911009E-2</v>
      </c>
      <c r="R411" t="str">
        <f t="shared" si="33"/>
        <v>Late</v>
      </c>
      <c r="S411" t="str">
        <f t="shared" si="34"/>
        <v>OK</v>
      </c>
    </row>
    <row r="412" spans="1:19" x14ac:dyDescent="0.25">
      <c r="A412" t="s">
        <v>437</v>
      </c>
      <c r="B412" t="s">
        <v>12</v>
      </c>
      <c r="C412" s="1">
        <v>44832</v>
      </c>
      <c r="D412" s="1">
        <v>44847</v>
      </c>
      <c r="E412" t="s">
        <v>13</v>
      </c>
      <c r="F412" t="s">
        <v>18</v>
      </c>
      <c r="G412">
        <v>1577</v>
      </c>
      <c r="H412" s="3">
        <v>41.77</v>
      </c>
      <c r="I412" s="3">
        <v>39.58</v>
      </c>
      <c r="J412">
        <v>32</v>
      </c>
      <c r="K412" t="s">
        <v>15</v>
      </c>
      <c r="L412">
        <f t="shared" si="30"/>
        <v>15</v>
      </c>
      <c r="M412" s="3">
        <f>Table1[[#This Row],[Quantity]]*Table1[[#This Row],[Negotiated_Price]]</f>
        <v>62417.659999999996</v>
      </c>
      <c r="N412" s="3">
        <f>Table1[[#This Row],[Quantity]]*Table1[[#This Row],[Unit_Price]]</f>
        <v>65871.290000000008</v>
      </c>
      <c r="O412" s="3">
        <f>Table1[[#This Row],[ Original_Spend ]]-Table1[[#This Row],[ Total_Spend ]]</f>
        <v>3453.6300000000119</v>
      </c>
      <c r="P412" s="2">
        <f t="shared" si="31"/>
        <v>5.2429973665310207E-2</v>
      </c>
      <c r="Q412" s="2">
        <f t="shared" si="32"/>
        <v>2.0291693088142042E-2</v>
      </c>
      <c r="R412" t="str">
        <f t="shared" si="33"/>
        <v>Late</v>
      </c>
      <c r="S412" t="str">
        <f t="shared" si="34"/>
        <v>OK</v>
      </c>
    </row>
    <row r="413" spans="1:19" x14ac:dyDescent="0.25">
      <c r="A413" t="s">
        <v>438</v>
      </c>
      <c r="B413" t="s">
        <v>20</v>
      </c>
      <c r="C413" s="1">
        <v>45079</v>
      </c>
      <c r="D413" s="1">
        <v>45081</v>
      </c>
      <c r="E413" t="s">
        <v>24</v>
      </c>
      <c r="F413" t="s">
        <v>35</v>
      </c>
      <c r="G413">
        <v>1969</v>
      </c>
      <c r="H413" s="3">
        <v>89.25</v>
      </c>
      <c r="I413" s="3">
        <v>87.28</v>
      </c>
      <c r="J413">
        <v>108</v>
      </c>
      <c r="K413" t="s">
        <v>27</v>
      </c>
      <c r="L413">
        <f t="shared" si="30"/>
        <v>2</v>
      </c>
      <c r="M413" s="3">
        <f>Table1[[#This Row],[Quantity]]*Table1[[#This Row],[Negotiated_Price]]</f>
        <v>171854.32</v>
      </c>
      <c r="N413" s="3">
        <f>Table1[[#This Row],[Quantity]]*Table1[[#This Row],[Unit_Price]]</f>
        <v>175733.25</v>
      </c>
      <c r="O413" s="3">
        <f>Table1[[#This Row],[ Original_Spend ]]-Table1[[#This Row],[ Total_Spend ]]</f>
        <v>3878.929999999993</v>
      </c>
      <c r="P413" s="2">
        <f t="shared" si="31"/>
        <v>2.2072829131652622E-2</v>
      </c>
      <c r="Q413" s="2">
        <f t="shared" si="32"/>
        <v>5.485017775520569E-2</v>
      </c>
      <c r="R413" t="str">
        <f t="shared" si="33"/>
        <v>Pending</v>
      </c>
      <c r="S413" t="str">
        <f t="shared" si="34"/>
        <v>Status-Date Conflict</v>
      </c>
    </row>
    <row r="414" spans="1:19" x14ac:dyDescent="0.25">
      <c r="A414" t="s">
        <v>439</v>
      </c>
      <c r="B414" t="s">
        <v>23</v>
      </c>
      <c r="C414" s="1">
        <v>45062</v>
      </c>
      <c r="D414" s="1">
        <v>45072</v>
      </c>
      <c r="E414" t="s">
        <v>24</v>
      </c>
      <c r="F414" t="s">
        <v>33</v>
      </c>
      <c r="G414">
        <v>1465</v>
      </c>
      <c r="H414" s="3">
        <v>11.25</v>
      </c>
      <c r="I414" s="3">
        <v>9.61</v>
      </c>
      <c r="J414">
        <v>151</v>
      </c>
      <c r="K414" t="s">
        <v>15</v>
      </c>
      <c r="L414">
        <f t="shared" si="30"/>
        <v>10</v>
      </c>
      <c r="M414" s="3">
        <f>Table1[[#This Row],[Quantity]]*Table1[[#This Row],[Negotiated_Price]]</f>
        <v>14078.65</v>
      </c>
      <c r="N414" s="3">
        <f>Table1[[#This Row],[Quantity]]*Table1[[#This Row],[Unit_Price]]</f>
        <v>16481.25</v>
      </c>
      <c r="O414" s="3">
        <f>Table1[[#This Row],[ Original_Spend ]]-Table1[[#This Row],[ Total_Spend ]]</f>
        <v>2402.6000000000004</v>
      </c>
      <c r="P414" s="2">
        <f t="shared" si="31"/>
        <v>0.14577777777777781</v>
      </c>
      <c r="Q414" s="2">
        <f t="shared" si="32"/>
        <v>0.10307167235494881</v>
      </c>
      <c r="R414" t="str">
        <f t="shared" si="33"/>
        <v>Partially Delivered</v>
      </c>
      <c r="S414" t="str">
        <f t="shared" si="34"/>
        <v>Status-Date Conflict</v>
      </c>
    </row>
    <row r="415" spans="1:19" x14ac:dyDescent="0.25">
      <c r="A415" t="s">
        <v>440</v>
      </c>
      <c r="B415" t="s">
        <v>17</v>
      </c>
      <c r="C415" s="1">
        <v>44819</v>
      </c>
      <c r="D415" s="1">
        <v>44822</v>
      </c>
      <c r="E415" t="s">
        <v>24</v>
      </c>
      <c r="F415" t="s">
        <v>35</v>
      </c>
      <c r="G415">
        <v>1208</v>
      </c>
      <c r="H415" s="3">
        <v>41.62</v>
      </c>
      <c r="I415" s="3">
        <v>39.46</v>
      </c>
      <c r="K415" t="s">
        <v>15</v>
      </c>
      <c r="L415">
        <f t="shared" si="30"/>
        <v>3</v>
      </c>
      <c r="M415" s="3">
        <f>Table1[[#This Row],[Quantity]]*Table1[[#This Row],[Negotiated_Price]]</f>
        <v>47667.68</v>
      </c>
      <c r="N415" s="3">
        <f>Table1[[#This Row],[Quantity]]*Table1[[#This Row],[Unit_Price]]</f>
        <v>50276.959999999999</v>
      </c>
      <c r="O415" s="3">
        <f>Table1[[#This Row],[ Original_Spend ]]-Table1[[#This Row],[ Total_Spend ]]</f>
        <v>2609.2799999999988</v>
      </c>
      <c r="P415" s="2">
        <f t="shared" si="31"/>
        <v>5.1898125901009111E-2</v>
      </c>
      <c r="Q415" s="2">
        <f t="shared" si="32"/>
        <v>0</v>
      </c>
      <c r="R415" t="str">
        <f t="shared" si="33"/>
        <v>Pending</v>
      </c>
      <c r="S415" t="str">
        <f t="shared" si="34"/>
        <v>Status-Date Conflict</v>
      </c>
    </row>
    <row r="416" spans="1:19" x14ac:dyDescent="0.25">
      <c r="A416" t="s">
        <v>441</v>
      </c>
      <c r="B416" t="s">
        <v>23</v>
      </c>
      <c r="C416" s="1">
        <v>44614</v>
      </c>
      <c r="D416" s="1">
        <v>44631</v>
      </c>
      <c r="E416" t="s">
        <v>26</v>
      </c>
      <c r="F416" t="s">
        <v>18</v>
      </c>
      <c r="G416">
        <v>1268</v>
      </c>
      <c r="H416" s="3">
        <v>46.06</v>
      </c>
      <c r="I416" s="3">
        <v>45.26</v>
      </c>
      <c r="J416">
        <v>123</v>
      </c>
      <c r="K416" t="s">
        <v>15</v>
      </c>
      <c r="L416">
        <f t="shared" si="30"/>
        <v>17</v>
      </c>
      <c r="M416" s="3">
        <f>Table1[[#This Row],[Quantity]]*Table1[[#This Row],[Negotiated_Price]]</f>
        <v>57389.68</v>
      </c>
      <c r="N416" s="3">
        <f>Table1[[#This Row],[Quantity]]*Table1[[#This Row],[Unit_Price]]</f>
        <v>58404.08</v>
      </c>
      <c r="O416" s="3">
        <f>Table1[[#This Row],[ Original_Spend ]]-Table1[[#This Row],[ Total_Spend ]]</f>
        <v>1014.4000000000015</v>
      </c>
      <c r="P416" s="2">
        <f t="shared" si="31"/>
        <v>1.7368649587494598E-2</v>
      </c>
      <c r="Q416" s="2">
        <f t="shared" si="32"/>
        <v>9.7003154574132486E-2</v>
      </c>
      <c r="R416" t="str">
        <f t="shared" si="33"/>
        <v>Late</v>
      </c>
      <c r="S416" t="str">
        <f t="shared" si="34"/>
        <v>OK</v>
      </c>
    </row>
    <row r="417" spans="1:19" x14ac:dyDescent="0.25">
      <c r="A417" t="s">
        <v>442</v>
      </c>
      <c r="B417" t="s">
        <v>17</v>
      </c>
      <c r="C417" s="1">
        <v>44656</v>
      </c>
      <c r="D417" s="1">
        <v>44675</v>
      </c>
      <c r="E417" t="s">
        <v>13</v>
      </c>
      <c r="F417" t="s">
        <v>18</v>
      </c>
      <c r="G417">
        <v>450</v>
      </c>
      <c r="H417" s="3">
        <v>59.24</v>
      </c>
      <c r="I417" s="3">
        <v>55.03</v>
      </c>
      <c r="J417">
        <v>68</v>
      </c>
      <c r="K417" t="s">
        <v>27</v>
      </c>
      <c r="L417">
        <f t="shared" si="30"/>
        <v>19</v>
      </c>
      <c r="M417" s="3">
        <f>Table1[[#This Row],[Quantity]]*Table1[[#This Row],[Negotiated_Price]]</f>
        <v>24763.5</v>
      </c>
      <c r="N417" s="3">
        <f>Table1[[#This Row],[Quantity]]*Table1[[#This Row],[Unit_Price]]</f>
        <v>26658</v>
      </c>
      <c r="O417" s="3">
        <f>Table1[[#This Row],[ Original_Spend ]]-Table1[[#This Row],[ Total_Spend ]]</f>
        <v>1894.5</v>
      </c>
      <c r="P417" s="2">
        <f t="shared" si="31"/>
        <v>7.1066846725185692E-2</v>
      </c>
      <c r="Q417" s="2">
        <f t="shared" si="32"/>
        <v>0.15111111111111111</v>
      </c>
      <c r="R417" t="str">
        <f t="shared" si="33"/>
        <v>Late</v>
      </c>
      <c r="S417" t="str">
        <f t="shared" si="34"/>
        <v>OK</v>
      </c>
    </row>
    <row r="418" spans="1:19" x14ac:dyDescent="0.25">
      <c r="A418" t="s">
        <v>443</v>
      </c>
      <c r="B418" t="s">
        <v>20</v>
      </c>
      <c r="C418" s="1">
        <v>45211</v>
      </c>
      <c r="D418" s="1">
        <v>45213</v>
      </c>
      <c r="E418" t="s">
        <v>39</v>
      </c>
      <c r="F418" t="s">
        <v>33</v>
      </c>
      <c r="G418">
        <v>689</v>
      </c>
      <c r="H418" s="3">
        <v>102.53</v>
      </c>
      <c r="I418" s="3">
        <v>95.23</v>
      </c>
      <c r="J418">
        <v>38</v>
      </c>
      <c r="K418" t="s">
        <v>15</v>
      </c>
      <c r="L418">
        <f t="shared" si="30"/>
        <v>2</v>
      </c>
      <c r="M418" s="3">
        <f>Table1[[#This Row],[Quantity]]*Table1[[#This Row],[Negotiated_Price]]</f>
        <v>65613.47</v>
      </c>
      <c r="N418" s="3">
        <f>Table1[[#This Row],[Quantity]]*Table1[[#This Row],[Unit_Price]]</f>
        <v>70643.17</v>
      </c>
      <c r="O418" s="3">
        <f>Table1[[#This Row],[ Original_Spend ]]-Table1[[#This Row],[ Total_Spend ]]</f>
        <v>5029.6999999999971</v>
      </c>
      <c r="P418" s="2">
        <f t="shared" si="31"/>
        <v>7.1198673558958314E-2</v>
      </c>
      <c r="Q418" s="2">
        <f t="shared" si="32"/>
        <v>5.5152394775036286E-2</v>
      </c>
      <c r="R418" t="str">
        <f t="shared" si="33"/>
        <v>Partially Delivered</v>
      </c>
      <c r="S418" t="str">
        <f t="shared" si="34"/>
        <v>Status-Date Conflict</v>
      </c>
    </row>
    <row r="419" spans="1:19" x14ac:dyDescent="0.25">
      <c r="A419" t="s">
        <v>444</v>
      </c>
      <c r="B419" t="s">
        <v>20</v>
      </c>
      <c r="C419" s="1">
        <v>44995</v>
      </c>
      <c r="D419" s="1">
        <v>45014</v>
      </c>
      <c r="E419" t="s">
        <v>21</v>
      </c>
      <c r="F419" t="s">
        <v>18</v>
      </c>
      <c r="G419">
        <v>1106</v>
      </c>
      <c r="H419" s="3">
        <v>44.05</v>
      </c>
      <c r="I419" s="3">
        <v>38.6</v>
      </c>
      <c r="J419">
        <v>51</v>
      </c>
      <c r="K419" t="s">
        <v>15</v>
      </c>
      <c r="L419">
        <f t="shared" si="30"/>
        <v>19</v>
      </c>
      <c r="M419" s="3">
        <f>Table1[[#This Row],[Quantity]]*Table1[[#This Row],[Negotiated_Price]]</f>
        <v>42691.6</v>
      </c>
      <c r="N419" s="3">
        <f>Table1[[#This Row],[Quantity]]*Table1[[#This Row],[Unit_Price]]</f>
        <v>48719.299999999996</v>
      </c>
      <c r="O419" s="3">
        <f>Table1[[#This Row],[ Original_Spend ]]-Table1[[#This Row],[ Total_Spend ]]</f>
        <v>6027.6999999999971</v>
      </c>
      <c r="P419" s="2">
        <f t="shared" si="31"/>
        <v>0.12372304199772981</v>
      </c>
      <c r="Q419" s="2">
        <f t="shared" si="32"/>
        <v>4.6112115732368897E-2</v>
      </c>
      <c r="R419" t="str">
        <f t="shared" si="33"/>
        <v>Late</v>
      </c>
      <c r="S419" t="str">
        <f t="shared" si="34"/>
        <v>OK</v>
      </c>
    </row>
    <row r="420" spans="1:19" x14ac:dyDescent="0.25">
      <c r="A420" t="s">
        <v>445</v>
      </c>
      <c r="B420" t="s">
        <v>12</v>
      </c>
      <c r="C420" s="1">
        <v>44845</v>
      </c>
      <c r="D420" s="1">
        <v>44856</v>
      </c>
      <c r="E420" t="s">
        <v>13</v>
      </c>
      <c r="F420" t="s">
        <v>18</v>
      </c>
      <c r="G420">
        <v>737</v>
      </c>
      <c r="H420" s="3">
        <v>43.08</v>
      </c>
      <c r="I420" s="3">
        <v>42.58</v>
      </c>
      <c r="J420">
        <v>21</v>
      </c>
      <c r="K420" t="s">
        <v>15</v>
      </c>
      <c r="L420">
        <f t="shared" si="30"/>
        <v>11</v>
      </c>
      <c r="M420" s="3">
        <f>Table1[[#This Row],[Quantity]]*Table1[[#This Row],[Negotiated_Price]]</f>
        <v>31381.46</v>
      </c>
      <c r="N420" s="3">
        <f>Table1[[#This Row],[Quantity]]*Table1[[#This Row],[Unit_Price]]</f>
        <v>31749.96</v>
      </c>
      <c r="O420" s="3">
        <f>Table1[[#This Row],[ Original_Spend ]]-Table1[[#This Row],[ Total_Spend ]]</f>
        <v>368.5</v>
      </c>
      <c r="P420" s="2">
        <f t="shared" si="31"/>
        <v>1.1606313834726092E-2</v>
      </c>
      <c r="Q420" s="2">
        <f t="shared" si="32"/>
        <v>2.8493894165535955E-2</v>
      </c>
      <c r="R420" t="str">
        <f t="shared" si="33"/>
        <v>Late</v>
      </c>
      <c r="S420" t="str">
        <f t="shared" si="34"/>
        <v>OK</v>
      </c>
    </row>
    <row r="421" spans="1:19" x14ac:dyDescent="0.25">
      <c r="A421" t="s">
        <v>446</v>
      </c>
      <c r="B421" t="s">
        <v>12</v>
      </c>
      <c r="C421" s="1">
        <v>44607</v>
      </c>
      <c r="D421" s="1">
        <v>44624</v>
      </c>
      <c r="E421" t="s">
        <v>26</v>
      </c>
      <c r="F421" t="s">
        <v>18</v>
      </c>
      <c r="G421">
        <v>509</v>
      </c>
      <c r="H421" s="3">
        <v>76.760000000000005</v>
      </c>
      <c r="I421" s="3">
        <v>74.72</v>
      </c>
      <c r="J421">
        <v>7</v>
      </c>
      <c r="K421" t="s">
        <v>27</v>
      </c>
      <c r="L421">
        <f t="shared" si="30"/>
        <v>17</v>
      </c>
      <c r="M421" s="3">
        <f>Table1[[#This Row],[Quantity]]*Table1[[#This Row],[Negotiated_Price]]</f>
        <v>38032.479999999996</v>
      </c>
      <c r="N421" s="3">
        <f>Table1[[#This Row],[Quantity]]*Table1[[#This Row],[Unit_Price]]</f>
        <v>39070.840000000004</v>
      </c>
      <c r="O421" s="3">
        <f>Table1[[#This Row],[ Original_Spend ]]-Table1[[#This Row],[ Total_Spend ]]</f>
        <v>1038.3600000000079</v>
      </c>
      <c r="P421" s="2">
        <f t="shared" si="31"/>
        <v>2.6576341844710985E-2</v>
      </c>
      <c r="Q421" s="2">
        <f t="shared" si="32"/>
        <v>1.37524557956778E-2</v>
      </c>
      <c r="R421" t="str">
        <f t="shared" si="33"/>
        <v>Late</v>
      </c>
      <c r="S421" t="str">
        <f t="shared" si="34"/>
        <v>OK</v>
      </c>
    </row>
    <row r="422" spans="1:19" x14ac:dyDescent="0.25">
      <c r="A422" t="s">
        <v>447</v>
      </c>
      <c r="B422" t="s">
        <v>12</v>
      </c>
      <c r="C422" s="1">
        <v>44565</v>
      </c>
      <c r="D422" s="1">
        <v>44567</v>
      </c>
      <c r="E422" t="s">
        <v>39</v>
      </c>
      <c r="F422" t="s">
        <v>18</v>
      </c>
      <c r="G422">
        <v>1004</v>
      </c>
      <c r="H422" s="3">
        <v>50.7</v>
      </c>
      <c r="I422" s="3">
        <v>46.59</v>
      </c>
      <c r="J422">
        <v>27</v>
      </c>
      <c r="K422" t="s">
        <v>15</v>
      </c>
      <c r="L422">
        <f t="shared" si="30"/>
        <v>2</v>
      </c>
      <c r="M422" s="3">
        <f>Table1[[#This Row],[Quantity]]*Table1[[#This Row],[Negotiated_Price]]</f>
        <v>46776.36</v>
      </c>
      <c r="N422" s="3">
        <f>Table1[[#This Row],[Quantity]]*Table1[[#This Row],[Unit_Price]]</f>
        <v>50902.8</v>
      </c>
      <c r="O422" s="3">
        <f>Table1[[#This Row],[ Original_Spend ]]-Table1[[#This Row],[ Total_Spend ]]</f>
        <v>4126.4400000000023</v>
      </c>
      <c r="P422" s="2">
        <f t="shared" si="31"/>
        <v>8.1065088757396486E-2</v>
      </c>
      <c r="Q422" s="2">
        <f t="shared" si="32"/>
        <v>2.6892430278884463E-2</v>
      </c>
      <c r="R422" t="str">
        <f t="shared" si="33"/>
        <v>On Time</v>
      </c>
      <c r="S422" t="str">
        <f t="shared" si="34"/>
        <v>OK</v>
      </c>
    </row>
    <row r="423" spans="1:19" x14ac:dyDescent="0.25">
      <c r="A423" t="s">
        <v>448</v>
      </c>
      <c r="B423" t="s">
        <v>20</v>
      </c>
      <c r="C423" s="1">
        <v>44903</v>
      </c>
      <c r="D423" s="1">
        <v>44914</v>
      </c>
      <c r="E423" t="s">
        <v>21</v>
      </c>
      <c r="F423" t="s">
        <v>35</v>
      </c>
      <c r="G423">
        <v>1956</v>
      </c>
      <c r="H423" s="3">
        <v>31.88</v>
      </c>
      <c r="I423" s="3">
        <v>28.48</v>
      </c>
      <c r="J423">
        <v>86</v>
      </c>
      <c r="K423" t="s">
        <v>15</v>
      </c>
      <c r="L423">
        <f t="shared" si="30"/>
        <v>11</v>
      </c>
      <c r="M423" s="3">
        <f>Table1[[#This Row],[Quantity]]*Table1[[#This Row],[Negotiated_Price]]</f>
        <v>55706.879999999997</v>
      </c>
      <c r="N423" s="3">
        <f>Table1[[#This Row],[Quantity]]*Table1[[#This Row],[Unit_Price]]</f>
        <v>62357.279999999999</v>
      </c>
      <c r="O423" s="3">
        <f>Table1[[#This Row],[ Original_Spend ]]-Table1[[#This Row],[ Total_Spend ]]</f>
        <v>6650.4000000000015</v>
      </c>
      <c r="P423" s="2">
        <f t="shared" si="31"/>
        <v>0.10664993726474281</v>
      </c>
      <c r="Q423" s="2">
        <f t="shared" si="32"/>
        <v>4.396728016359918E-2</v>
      </c>
      <c r="R423" t="str">
        <f t="shared" si="33"/>
        <v>Pending</v>
      </c>
      <c r="S423" t="str">
        <f t="shared" si="34"/>
        <v>Status-Date Conflict</v>
      </c>
    </row>
    <row r="424" spans="1:19" x14ac:dyDescent="0.25">
      <c r="A424" t="s">
        <v>449</v>
      </c>
      <c r="B424" t="s">
        <v>17</v>
      </c>
      <c r="C424" s="1">
        <v>44695</v>
      </c>
      <c r="E424" t="s">
        <v>39</v>
      </c>
      <c r="F424" t="s">
        <v>18</v>
      </c>
      <c r="G424">
        <v>519</v>
      </c>
      <c r="H424" s="3">
        <v>51.73</v>
      </c>
      <c r="I424" s="3">
        <v>47.52</v>
      </c>
      <c r="J424">
        <v>81</v>
      </c>
      <c r="K424" t="s">
        <v>27</v>
      </c>
      <c r="L424" t="str">
        <f t="shared" si="30"/>
        <v/>
      </c>
      <c r="M424" s="3">
        <f>Table1[[#This Row],[Quantity]]*Table1[[#This Row],[Negotiated_Price]]</f>
        <v>24662.880000000001</v>
      </c>
      <c r="N424" s="3">
        <f>Table1[[#This Row],[Quantity]]*Table1[[#This Row],[Unit_Price]]</f>
        <v>26847.87</v>
      </c>
      <c r="O424" s="3">
        <f>Table1[[#This Row],[ Original_Spend ]]-Table1[[#This Row],[ Total_Spend ]]</f>
        <v>2184.989999999998</v>
      </c>
      <c r="P424" s="2">
        <f t="shared" si="31"/>
        <v>8.1384109800889157E-2</v>
      </c>
      <c r="Q424" s="2">
        <f t="shared" si="32"/>
        <v>0.15606936416184972</v>
      </c>
      <c r="R424" t="str">
        <f t="shared" si="33"/>
        <v>Missing Delivery Date</v>
      </c>
      <c r="S424" t="str">
        <f t="shared" si="34"/>
        <v>Missing Delivery Date</v>
      </c>
    </row>
    <row r="425" spans="1:19" x14ac:dyDescent="0.25">
      <c r="A425" t="s">
        <v>450</v>
      </c>
      <c r="B425" t="s">
        <v>20</v>
      </c>
      <c r="C425" s="1">
        <v>45214</v>
      </c>
      <c r="D425" s="1">
        <v>45220</v>
      </c>
      <c r="E425" t="s">
        <v>21</v>
      </c>
      <c r="F425" t="s">
        <v>33</v>
      </c>
      <c r="G425">
        <v>1448</v>
      </c>
      <c r="H425" s="3">
        <v>25.06</v>
      </c>
      <c r="I425" s="3">
        <v>21.62</v>
      </c>
      <c r="J425">
        <v>84</v>
      </c>
      <c r="K425" t="s">
        <v>15</v>
      </c>
      <c r="L425">
        <f t="shared" si="30"/>
        <v>6</v>
      </c>
      <c r="M425" s="3">
        <f>Table1[[#This Row],[Quantity]]*Table1[[#This Row],[Negotiated_Price]]</f>
        <v>31305.760000000002</v>
      </c>
      <c r="N425" s="3">
        <f>Table1[[#This Row],[Quantity]]*Table1[[#This Row],[Unit_Price]]</f>
        <v>36286.879999999997</v>
      </c>
      <c r="O425" s="3">
        <f>Table1[[#This Row],[ Original_Spend ]]-Table1[[#This Row],[ Total_Spend ]]</f>
        <v>4981.1199999999953</v>
      </c>
      <c r="P425" s="2">
        <f t="shared" si="31"/>
        <v>0.13727055067837179</v>
      </c>
      <c r="Q425" s="2">
        <f t="shared" si="32"/>
        <v>5.8011049723756904E-2</v>
      </c>
      <c r="R425" t="str">
        <f t="shared" si="33"/>
        <v>Partially Delivered</v>
      </c>
      <c r="S425" t="str">
        <f t="shared" si="34"/>
        <v>Status-Date Conflict</v>
      </c>
    </row>
    <row r="426" spans="1:19" x14ac:dyDescent="0.25">
      <c r="A426" t="s">
        <v>451</v>
      </c>
      <c r="B426" t="s">
        <v>20</v>
      </c>
      <c r="C426" s="1">
        <v>44830</v>
      </c>
      <c r="D426" s="1">
        <v>44845</v>
      </c>
      <c r="E426" t="s">
        <v>24</v>
      </c>
      <c r="F426" t="s">
        <v>18</v>
      </c>
      <c r="G426">
        <v>1095</v>
      </c>
      <c r="H426" s="3">
        <v>26.91</v>
      </c>
      <c r="I426" s="3">
        <v>23.75</v>
      </c>
      <c r="J426">
        <v>53</v>
      </c>
      <c r="K426" t="s">
        <v>15</v>
      </c>
      <c r="L426">
        <f t="shared" si="30"/>
        <v>15</v>
      </c>
      <c r="M426" s="3">
        <f>Table1[[#This Row],[Quantity]]*Table1[[#This Row],[Negotiated_Price]]</f>
        <v>26006.25</v>
      </c>
      <c r="N426" s="3">
        <f>Table1[[#This Row],[Quantity]]*Table1[[#This Row],[Unit_Price]]</f>
        <v>29466.45</v>
      </c>
      <c r="O426" s="3">
        <f>Table1[[#This Row],[ Original_Spend ]]-Table1[[#This Row],[ Total_Spend ]]</f>
        <v>3460.2000000000007</v>
      </c>
      <c r="P426" s="2">
        <f t="shared" si="31"/>
        <v>0.11742846525455224</v>
      </c>
      <c r="Q426" s="2">
        <f t="shared" si="32"/>
        <v>4.8401826484018265E-2</v>
      </c>
      <c r="R426" t="str">
        <f t="shared" si="33"/>
        <v>Late</v>
      </c>
      <c r="S426" t="str">
        <f t="shared" si="34"/>
        <v>OK</v>
      </c>
    </row>
    <row r="427" spans="1:19" x14ac:dyDescent="0.25">
      <c r="A427" t="s">
        <v>452</v>
      </c>
      <c r="B427" t="s">
        <v>12</v>
      </c>
      <c r="C427" s="1">
        <v>44727</v>
      </c>
      <c r="E427" t="s">
        <v>21</v>
      </c>
      <c r="F427" t="s">
        <v>18</v>
      </c>
      <c r="G427">
        <v>799</v>
      </c>
      <c r="H427" s="3">
        <v>56.22</v>
      </c>
      <c r="I427" s="3">
        <v>49.51</v>
      </c>
      <c r="J427">
        <v>18</v>
      </c>
      <c r="K427" t="s">
        <v>15</v>
      </c>
      <c r="L427" t="str">
        <f t="shared" si="30"/>
        <v/>
      </c>
      <c r="M427" s="3">
        <f>Table1[[#This Row],[Quantity]]*Table1[[#This Row],[Negotiated_Price]]</f>
        <v>39558.49</v>
      </c>
      <c r="N427" s="3">
        <f>Table1[[#This Row],[Quantity]]*Table1[[#This Row],[Unit_Price]]</f>
        <v>44919.78</v>
      </c>
      <c r="O427" s="3">
        <f>Table1[[#This Row],[ Original_Spend ]]-Table1[[#This Row],[ Total_Spend ]]</f>
        <v>5361.2900000000009</v>
      </c>
      <c r="P427" s="2">
        <f t="shared" si="31"/>
        <v>0.1193525435787976</v>
      </c>
      <c r="Q427" s="2">
        <f t="shared" si="32"/>
        <v>2.2528160200250311E-2</v>
      </c>
      <c r="R427" t="str">
        <f t="shared" si="33"/>
        <v>Missing Delivery Date</v>
      </c>
      <c r="S427" t="str">
        <f t="shared" si="34"/>
        <v>Missing Delivery Date</v>
      </c>
    </row>
    <row r="428" spans="1:19" x14ac:dyDescent="0.25">
      <c r="A428" t="s">
        <v>453</v>
      </c>
      <c r="B428" t="s">
        <v>23</v>
      </c>
      <c r="C428" s="1">
        <v>45014</v>
      </c>
      <c r="D428" s="1">
        <v>45034</v>
      </c>
      <c r="E428" t="s">
        <v>21</v>
      </c>
      <c r="F428" t="s">
        <v>33</v>
      </c>
      <c r="G428">
        <v>1743</v>
      </c>
      <c r="H428" s="3">
        <v>51.04</v>
      </c>
      <c r="I428" s="3">
        <v>47.15</v>
      </c>
      <c r="J428">
        <v>160</v>
      </c>
      <c r="K428" t="s">
        <v>15</v>
      </c>
      <c r="L428">
        <f t="shared" si="30"/>
        <v>20</v>
      </c>
      <c r="M428" s="3">
        <f>Table1[[#This Row],[Quantity]]*Table1[[#This Row],[Negotiated_Price]]</f>
        <v>82182.45</v>
      </c>
      <c r="N428" s="3">
        <f>Table1[[#This Row],[Quantity]]*Table1[[#This Row],[Unit_Price]]</f>
        <v>88962.72</v>
      </c>
      <c r="O428" s="3">
        <f>Table1[[#This Row],[ Original_Spend ]]-Table1[[#This Row],[ Total_Spend ]]</f>
        <v>6780.2700000000041</v>
      </c>
      <c r="P428" s="2">
        <f t="shared" si="31"/>
        <v>7.6214733542319793E-2</v>
      </c>
      <c r="Q428" s="2">
        <f t="shared" si="32"/>
        <v>9.1795754446356861E-2</v>
      </c>
      <c r="R428" t="str">
        <f t="shared" si="33"/>
        <v>Partially Delivered</v>
      </c>
      <c r="S428" t="str">
        <f t="shared" si="34"/>
        <v>Status-Date Conflict</v>
      </c>
    </row>
    <row r="429" spans="1:19" x14ac:dyDescent="0.25">
      <c r="A429" t="s">
        <v>454</v>
      </c>
      <c r="B429" t="s">
        <v>12</v>
      </c>
      <c r="C429" s="1">
        <v>45126</v>
      </c>
      <c r="D429" s="1">
        <v>45138</v>
      </c>
      <c r="E429" t="s">
        <v>26</v>
      </c>
      <c r="F429" t="s">
        <v>18</v>
      </c>
      <c r="G429">
        <v>87</v>
      </c>
      <c r="H429" s="3">
        <v>100.65</v>
      </c>
      <c r="I429" s="3">
        <v>85.56</v>
      </c>
      <c r="J429">
        <v>1</v>
      </c>
      <c r="K429" t="s">
        <v>15</v>
      </c>
      <c r="L429">
        <f t="shared" si="30"/>
        <v>12</v>
      </c>
      <c r="M429" s="3">
        <f>Table1[[#This Row],[Quantity]]*Table1[[#This Row],[Negotiated_Price]]</f>
        <v>7443.72</v>
      </c>
      <c r="N429" s="3">
        <f>Table1[[#This Row],[Quantity]]*Table1[[#This Row],[Unit_Price]]</f>
        <v>8756.5500000000011</v>
      </c>
      <c r="O429" s="3">
        <f>Table1[[#This Row],[ Original_Spend ]]-Table1[[#This Row],[ Total_Spend ]]</f>
        <v>1312.8300000000008</v>
      </c>
      <c r="P429" s="2">
        <f t="shared" si="31"/>
        <v>0.14992548435171393</v>
      </c>
      <c r="Q429" s="2">
        <f t="shared" si="32"/>
        <v>1.1494252873563218E-2</v>
      </c>
      <c r="R429" t="str">
        <f t="shared" si="33"/>
        <v>Late</v>
      </c>
      <c r="S429" t="str">
        <f t="shared" si="34"/>
        <v>OK</v>
      </c>
    </row>
    <row r="430" spans="1:19" x14ac:dyDescent="0.25">
      <c r="A430" t="s">
        <v>455</v>
      </c>
      <c r="B430" t="s">
        <v>23</v>
      </c>
      <c r="C430" s="1">
        <v>45284</v>
      </c>
      <c r="E430" t="s">
        <v>26</v>
      </c>
      <c r="F430" t="s">
        <v>18</v>
      </c>
      <c r="G430">
        <v>279</v>
      </c>
      <c r="H430" s="3">
        <v>47.52</v>
      </c>
      <c r="I430" s="3">
        <v>46.5</v>
      </c>
      <c r="J430">
        <v>28</v>
      </c>
      <c r="K430" t="s">
        <v>27</v>
      </c>
      <c r="L430" t="str">
        <f t="shared" si="30"/>
        <v/>
      </c>
      <c r="M430" s="3">
        <f>Table1[[#This Row],[Quantity]]*Table1[[#This Row],[Negotiated_Price]]</f>
        <v>12973.5</v>
      </c>
      <c r="N430" s="3">
        <f>Table1[[#This Row],[Quantity]]*Table1[[#This Row],[Unit_Price]]</f>
        <v>13258.080000000002</v>
      </c>
      <c r="O430" s="3">
        <f>Table1[[#This Row],[ Original_Spend ]]-Table1[[#This Row],[ Total_Spend ]]</f>
        <v>284.58000000000175</v>
      </c>
      <c r="P430" s="2">
        <f t="shared" si="31"/>
        <v>2.1464646464646592E-2</v>
      </c>
      <c r="Q430" s="2">
        <f t="shared" si="32"/>
        <v>0.1003584229390681</v>
      </c>
      <c r="R430" t="str">
        <f t="shared" si="33"/>
        <v>Missing Delivery Date</v>
      </c>
      <c r="S430" t="str">
        <f t="shared" si="34"/>
        <v>Missing Delivery Date</v>
      </c>
    </row>
    <row r="431" spans="1:19" x14ac:dyDescent="0.25">
      <c r="A431" t="s">
        <v>456</v>
      </c>
      <c r="B431" t="s">
        <v>17</v>
      </c>
      <c r="C431" s="1">
        <v>44999</v>
      </c>
      <c r="D431" s="1">
        <v>45010</v>
      </c>
      <c r="E431" t="s">
        <v>26</v>
      </c>
      <c r="F431" t="s">
        <v>18</v>
      </c>
      <c r="G431">
        <v>1438</v>
      </c>
      <c r="H431" s="3">
        <v>66.61</v>
      </c>
      <c r="I431" s="3">
        <v>58.5</v>
      </c>
      <c r="J431">
        <v>237</v>
      </c>
      <c r="K431" t="s">
        <v>15</v>
      </c>
      <c r="L431">
        <f t="shared" si="30"/>
        <v>11</v>
      </c>
      <c r="M431" s="3">
        <f>Table1[[#This Row],[Quantity]]*Table1[[#This Row],[Negotiated_Price]]</f>
        <v>84123</v>
      </c>
      <c r="N431" s="3">
        <f>Table1[[#This Row],[Quantity]]*Table1[[#This Row],[Unit_Price]]</f>
        <v>95785.18</v>
      </c>
      <c r="O431" s="3">
        <f>Table1[[#This Row],[ Original_Spend ]]-Table1[[#This Row],[ Total_Spend ]]</f>
        <v>11662.179999999993</v>
      </c>
      <c r="P431" s="2">
        <f t="shared" si="31"/>
        <v>0.1217534904668968</v>
      </c>
      <c r="Q431" s="2">
        <f t="shared" si="32"/>
        <v>0.16481223922114047</v>
      </c>
      <c r="R431" t="str">
        <f t="shared" si="33"/>
        <v>Late</v>
      </c>
      <c r="S431" t="str">
        <f t="shared" si="34"/>
        <v>OK</v>
      </c>
    </row>
    <row r="432" spans="1:19" x14ac:dyDescent="0.25">
      <c r="A432" t="s">
        <v>457</v>
      </c>
      <c r="B432" t="s">
        <v>17</v>
      </c>
      <c r="C432" s="1">
        <v>45136</v>
      </c>
      <c r="D432" s="1">
        <v>45138</v>
      </c>
      <c r="E432" t="s">
        <v>13</v>
      </c>
      <c r="F432" t="s">
        <v>33</v>
      </c>
      <c r="G432">
        <v>612</v>
      </c>
      <c r="H432" s="3">
        <v>72.930000000000007</v>
      </c>
      <c r="I432" s="3">
        <v>63.32</v>
      </c>
      <c r="J432">
        <v>99</v>
      </c>
      <c r="K432" t="s">
        <v>15</v>
      </c>
      <c r="L432">
        <f t="shared" si="30"/>
        <v>2</v>
      </c>
      <c r="M432" s="3">
        <f>Table1[[#This Row],[Quantity]]*Table1[[#This Row],[Negotiated_Price]]</f>
        <v>38751.840000000004</v>
      </c>
      <c r="N432" s="3">
        <f>Table1[[#This Row],[Quantity]]*Table1[[#This Row],[Unit_Price]]</f>
        <v>44633.16</v>
      </c>
      <c r="O432" s="3">
        <f>Table1[[#This Row],[ Original_Spend ]]-Table1[[#This Row],[ Total_Spend ]]</f>
        <v>5881.32</v>
      </c>
      <c r="P432" s="2">
        <f t="shared" si="31"/>
        <v>0.13177019059372</v>
      </c>
      <c r="Q432" s="2">
        <f t="shared" si="32"/>
        <v>0.16176470588235295</v>
      </c>
      <c r="R432" t="str">
        <f t="shared" si="33"/>
        <v>Partially Delivered</v>
      </c>
      <c r="S432" t="str">
        <f t="shared" si="34"/>
        <v>Status-Date Conflict</v>
      </c>
    </row>
    <row r="433" spans="1:19" x14ac:dyDescent="0.25">
      <c r="A433" t="s">
        <v>458</v>
      </c>
      <c r="B433" t="s">
        <v>29</v>
      </c>
      <c r="C433" s="1">
        <v>44571</v>
      </c>
      <c r="D433" s="1">
        <v>44582</v>
      </c>
      <c r="E433" t="s">
        <v>24</v>
      </c>
      <c r="F433" t="s">
        <v>35</v>
      </c>
      <c r="G433">
        <v>487</v>
      </c>
      <c r="H433" s="3">
        <v>11.18</v>
      </c>
      <c r="I433" s="3">
        <v>10.63</v>
      </c>
      <c r="J433">
        <v>15</v>
      </c>
      <c r="K433" t="s">
        <v>15</v>
      </c>
      <c r="L433">
        <f t="shared" si="30"/>
        <v>11</v>
      </c>
      <c r="M433" s="3">
        <f>Table1[[#This Row],[Quantity]]*Table1[[#This Row],[Negotiated_Price]]</f>
        <v>5176.8100000000004</v>
      </c>
      <c r="N433" s="3">
        <f>Table1[[#This Row],[Quantity]]*Table1[[#This Row],[Unit_Price]]</f>
        <v>5444.66</v>
      </c>
      <c r="O433" s="3">
        <f>Table1[[#This Row],[ Original_Spend ]]-Table1[[#This Row],[ Total_Spend ]]</f>
        <v>267.84999999999945</v>
      </c>
      <c r="P433" s="2">
        <f t="shared" si="31"/>
        <v>4.9194991055456071E-2</v>
      </c>
      <c r="Q433" s="2">
        <f t="shared" si="32"/>
        <v>3.0800821355236138E-2</v>
      </c>
      <c r="R433" t="str">
        <f t="shared" si="33"/>
        <v>Pending</v>
      </c>
      <c r="S433" t="str">
        <f t="shared" si="34"/>
        <v>Status-Date Conflict</v>
      </c>
    </row>
    <row r="434" spans="1:19" x14ac:dyDescent="0.25">
      <c r="A434" t="s">
        <v>459</v>
      </c>
      <c r="B434" t="s">
        <v>29</v>
      </c>
      <c r="C434" s="1">
        <v>44676</v>
      </c>
      <c r="D434" s="1">
        <v>44680</v>
      </c>
      <c r="E434" t="s">
        <v>24</v>
      </c>
      <c r="F434" t="s">
        <v>33</v>
      </c>
      <c r="G434">
        <v>1849</v>
      </c>
      <c r="H434" s="3">
        <v>70.760000000000005</v>
      </c>
      <c r="I434" s="3">
        <v>69.25</v>
      </c>
      <c r="J434">
        <v>51</v>
      </c>
      <c r="K434" t="s">
        <v>15</v>
      </c>
      <c r="L434">
        <f t="shared" si="30"/>
        <v>4</v>
      </c>
      <c r="M434" s="3">
        <f>Table1[[#This Row],[Quantity]]*Table1[[#This Row],[Negotiated_Price]]</f>
        <v>128043.25</v>
      </c>
      <c r="N434" s="3">
        <f>Table1[[#This Row],[Quantity]]*Table1[[#This Row],[Unit_Price]]</f>
        <v>130835.24</v>
      </c>
      <c r="O434" s="3">
        <f>Table1[[#This Row],[ Original_Spend ]]-Table1[[#This Row],[ Total_Spend ]]</f>
        <v>2791.9900000000052</v>
      </c>
      <c r="P434" s="2">
        <f t="shared" si="31"/>
        <v>2.1339739966082572E-2</v>
      </c>
      <c r="Q434" s="2">
        <f t="shared" si="32"/>
        <v>2.7582477014602487E-2</v>
      </c>
      <c r="R434" t="str">
        <f t="shared" si="33"/>
        <v>Partially Delivered</v>
      </c>
      <c r="S434" t="str">
        <f t="shared" si="34"/>
        <v>Status-Date Conflict</v>
      </c>
    </row>
    <row r="435" spans="1:19" x14ac:dyDescent="0.25">
      <c r="A435" t="s">
        <v>460</v>
      </c>
      <c r="B435" t="s">
        <v>29</v>
      </c>
      <c r="C435" s="1">
        <v>44639</v>
      </c>
      <c r="D435" s="1">
        <v>44652</v>
      </c>
      <c r="E435" t="s">
        <v>21</v>
      </c>
      <c r="F435" t="s">
        <v>33</v>
      </c>
      <c r="G435">
        <v>1356</v>
      </c>
      <c r="H435" s="3">
        <v>26.28</v>
      </c>
      <c r="I435" s="3">
        <v>25.44</v>
      </c>
      <c r="J435">
        <v>47</v>
      </c>
      <c r="K435" t="s">
        <v>15</v>
      </c>
      <c r="L435">
        <f t="shared" si="30"/>
        <v>13</v>
      </c>
      <c r="M435" s="3">
        <f>Table1[[#This Row],[Quantity]]*Table1[[#This Row],[Negotiated_Price]]</f>
        <v>34496.639999999999</v>
      </c>
      <c r="N435" s="3">
        <f>Table1[[#This Row],[Quantity]]*Table1[[#This Row],[Unit_Price]]</f>
        <v>35635.68</v>
      </c>
      <c r="O435" s="3">
        <f>Table1[[#This Row],[ Original_Spend ]]-Table1[[#This Row],[ Total_Spend ]]</f>
        <v>1139.0400000000009</v>
      </c>
      <c r="P435" s="2">
        <f t="shared" si="31"/>
        <v>3.1963470319634729E-2</v>
      </c>
      <c r="Q435" s="2">
        <f t="shared" si="32"/>
        <v>3.466076696165192E-2</v>
      </c>
      <c r="R435" t="str">
        <f t="shared" si="33"/>
        <v>Partially Delivered</v>
      </c>
      <c r="S435" t="str">
        <f t="shared" si="34"/>
        <v>Status-Date Conflict</v>
      </c>
    </row>
    <row r="436" spans="1:19" x14ac:dyDescent="0.25">
      <c r="A436" t="s">
        <v>461</v>
      </c>
      <c r="B436" t="s">
        <v>17</v>
      </c>
      <c r="C436" s="1">
        <v>45269</v>
      </c>
      <c r="D436" s="1">
        <v>45289</v>
      </c>
      <c r="E436" t="s">
        <v>26</v>
      </c>
      <c r="F436" t="s">
        <v>18</v>
      </c>
      <c r="G436">
        <v>76</v>
      </c>
      <c r="H436" s="3">
        <v>107.59</v>
      </c>
      <c r="I436" s="3">
        <v>96.33</v>
      </c>
      <c r="J436">
        <v>10</v>
      </c>
      <c r="K436" t="s">
        <v>15</v>
      </c>
      <c r="L436">
        <f t="shared" si="30"/>
        <v>20</v>
      </c>
      <c r="M436" s="3">
        <f>Table1[[#This Row],[Quantity]]*Table1[[#This Row],[Negotiated_Price]]</f>
        <v>7321.08</v>
      </c>
      <c r="N436" s="3">
        <f>Table1[[#This Row],[Quantity]]*Table1[[#This Row],[Unit_Price]]</f>
        <v>8176.84</v>
      </c>
      <c r="O436" s="3">
        <f>Table1[[#This Row],[ Original_Spend ]]-Table1[[#This Row],[ Total_Spend ]]</f>
        <v>855.76000000000022</v>
      </c>
      <c r="P436" s="2">
        <f t="shared" si="31"/>
        <v>0.10465656659540852</v>
      </c>
      <c r="Q436" s="2">
        <f t="shared" si="32"/>
        <v>0.13157894736842105</v>
      </c>
      <c r="R436" t="str">
        <f t="shared" si="33"/>
        <v>Late</v>
      </c>
      <c r="S436" t="str">
        <f t="shared" si="34"/>
        <v>OK</v>
      </c>
    </row>
    <row r="437" spans="1:19" x14ac:dyDescent="0.25">
      <c r="A437" t="s">
        <v>462</v>
      </c>
      <c r="B437" t="s">
        <v>12</v>
      </c>
      <c r="C437" s="1">
        <v>44714</v>
      </c>
      <c r="D437" s="1">
        <v>44725</v>
      </c>
      <c r="E437" t="s">
        <v>24</v>
      </c>
      <c r="F437" t="s">
        <v>33</v>
      </c>
      <c r="G437">
        <v>275</v>
      </c>
      <c r="H437" s="3">
        <v>23.96</v>
      </c>
      <c r="I437" s="3">
        <v>20.440000000000001</v>
      </c>
      <c r="K437" t="s">
        <v>15</v>
      </c>
      <c r="L437">
        <f t="shared" si="30"/>
        <v>11</v>
      </c>
      <c r="M437" s="3">
        <f>Table1[[#This Row],[Quantity]]*Table1[[#This Row],[Negotiated_Price]]</f>
        <v>5621</v>
      </c>
      <c r="N437" s="3">
        <f>Table1[[#This Row],[Quantity]]*Table1[[#This Row],[Unit_Price]]</f>
        <v>6589</v>
      </c>
      <c r="O437" s="3">
        <f>Table1[[#This Row],[ Original_Spend ]]-Table1[[#This Row],[ Total_Spend ]]</f>
        <v>968</v>
      </c>
      <c r="P437" s="2">
        <f t="shared" si="31"/>
        <v>0.14691151919866444</v>
      </c>
      <c r="Q437" s="2">
        <f t="shared" si="32"/>
        <v>0</v>
      </c>
      <c r="R437" t="str">
        <f t="shared" si="33"/>
        <v>Partially Delivered</v>
      </c>
      <c r="S437" t="str">
        <f t="shared" si="34"/>
        <v>Status-Date Conflict</v>
      </c>
    </row>
    <row r="438" spans="1:19" x14ac:dyDescent="0.25">
      <c r="A438" t="s">
        <v>463</v>
      </c>
      <c r="B438" t="s">
        <v>12</v>
      </c>
      <c r="C438" s="1">
        <v>45120</v>
      </c>
      <c r="D438" s="1">
        <v>45125</v>
      </c>
      <c r="E438" t="s">
        <v>24</v>
      </c>
      <c r="F438" t="s">
        <v>18</v>
      </c>
      <c r="G438">
        <v>1350</v>
      </c>
      <c r="H438" s="3">
        <v>51.57</v>
      </c>
      <c r="I438" s="3">
        <v>48.07</v>
      </c>
      <c r="K438" t="s">
        <v>15</v>
      </c>
      <c r="L438">
        <f t="shared" si="30"/>
        <v>5</v>
      </c>
      <c r="M438" s="3">
        <f>Table1[[#This Row],[Quantity]]*Table1[[#This Row],[Negotiated_Price]]</f>
        <v>64894.5</v>
      </c>
      <c r="N438" s="3">
        <f>Table1[[#This Row],[Quantity]]*Table1[[#This Row],[Unit_Price]]</f>
        <v>69619.5</v>
      </c>
      <c r="O438" s="3">
        <f>Table1[[#This Row],[ Original_Spend ]]-Table1[[#This Row],[ Total_Spend ]]</f>
        <v>4725</v>
      </c>
      <c r="P438" s="2">
        <f t="shared" si="31"/>
        <v>6.7868916036455298E-2</v>
      </c>
      <c r="Q438" s="2">
        <f t="shared" si="32"/>
        <v>0</v>
      </c>
      <c r="R438" t="str">
        <f t="shared" si="33"/>
        <v>On Time</v>
      </c>
      <c r="S438" t="str">
        <f t="shared" si="34"/>
        <v>OK</v>
      </c>
    </row>
    <row r="439" spans="1:19" x14ac:dyDescent="0.25">
      <c r="A439" t="s">
        <v>464</v>
      </c>
      <c r="B439" t="s">
        <v>12</v>
      </c>
      <c r="C439" s="1">
        <v>44598</v>
      </c>
      <c r="E439" t="s">
        <v>21</v>
      </c>
      <c r="F439" t="s">
        <v>18</v>
      </c>
      <c r="G439">
        <v>847</v>
      </c>
      <c r="H439" s="3">
        <v>17.77</v>
      </c>
      <c r="I439" s="3">
        <v>17.39</v>
      </c>
      <c r="K439" t="s">
        <v>15</v>
      </c>
      <c r="L439" t="str">
        <f t="shared" si="30"/>
        <v/>
      </c>
      <c r="M439" s="3">
        <f>Table1[[#This Row],[Quantity]]*Table1[[#This Row],[Negotiated_Price]]</f>
        <v>14729.33</v>
      </c>
      <c r="N439" s="3">
        <f>Table1[[#This Row],[Quantity]]*Table1[[#This Row],[Unit_Price]]</f>
        <v>15051.19</v>
      </c>
      <c r="O439" s="3">
        <f>Table1[[#This Row],[ Original_Spend ]]-Table1[[#This Row],[ Total_Spend ]]</f>
        <v>321.86000000000058</v>
      </c>
      <c r="P439" s="2">
        <f t="shared" si="31"/>
        <v>2.1384355655599364E-2</v>
      </c>
      <c r="Q439" s="2">
        <f t="shared" si="32"/>
        <v>0</v>
      </c>
      <c r="R439" t="str">
        <f t="shared" si="33"/>
        <v>Missing Delivery Date</v>
      </c>
      <c r="S439" t="str">
        <f t="shared" si="34"/>
        <v>Missing Delivery Date</v>
      </c>
    </row>
    <row r="440" spans="1:19" x14ac:dyDescent="0.25">
      <c r="A440" t="s">
        <v>465</v>
      </c>
      <c r="B440" t="s">
        <v>20</v>
      </c>
      <c r="C440" s="1">
        <v>44940</v>
      </c>
      <c r="D440" s="1">
        <v>44953</v>
      </c>
      <c r="E440" t="s">
        <v>21</v>
      </c>
      <c r="F440" t="s">
        <v>18</v>
      </c>
      <c r="G440">
        <v>1682</v>
      </c>
      <c r="H440" s="3">
        <v>105.7</v>
      </c>
      <c r="I440" s="3">
        <v>101.3</v>
      </c>
      <c r="J440">
        <v>94</v>
      </c>
      <c r="K440" t="s">
        <v>15</v>
      </c>
      <c r="L440">
        <f t="shared" si="30"/>
        <v>13</v>
      </c>
      <c r="M440" s="3">
        <f>Table1[[#This Row],[Quantity]]*Table1[[#This Row],[Negotiated_Price]]</f>
        <v>170386.6</v>
      </c>
      <c r="N440" s="3">
        <f>Table1[[#This Row],[Quantity]]*Table1[[#This Row],[Unit_Price]]</f>
        <v>177787.4</v>
      </c>
      <c r="O440" s="3">
        <f>Table1[[#This Row],[ Original_Spend ]]-Table1[[#This Row],[ Total_Spend ]]</f>
        <v>7400.7999999999884</v>
      </c>
      <c r="P440" s="2">
        <f t="shared" si="31"/>
        <v>4.1627246925260104E-2</v>
      </c>
      <c r="Q440" s="2">
        <f t="shared" si="32"/>
        <v>5.5885850178359099E-2</v>
      </c>
      <c r="R440" t="str">
        <f t="shared" si="33"/>
        <v>Late</v>
      </c>
      <c r="S440" t="str">
        <f t="shared" si="34"/>
        <v>OK</v>
      </c>
    </row>
    <row r="441" spans="1:19" x14ac:dyDescent="0.25">
      <c r="A441" t="s">
        <v>466</v>
      </c>
      <c r="B441" t="s">
        <v>29</v>
      </c>
      <c r="C441" s="1">
        <v>45158</v>
      </c>
      <c r="D441" s="1">
        <v>45161</v>
      </c>
      <c r="E441" t="s">
        <v>39</v>
      </c>
      <c r="F441" t="s">
        <v>18</v>
      </c>
      <c r="G441">
        <v>333</v>
      </c>
      <c r="H441" s="3">
        <v>60.44</v>
      </c>
      <c r="I441" s="3">
        <v>58.54</v>
      </c>
      <c r="J441">
        <v>8</v>
      </c>
      <c r="K441" t="s">
        <v>15</v>
      </c>
      <c r="L441">
        <f t="shared" si="30"/>
        <v>3</v>
      </c>
      <c r="M441" s="3">
        <f>Table1[[#This Row],[Quantity]]*Table1[[#This Row],[Negotiated_Price]]</f>
        <v>19493.82</v>
      </c>
      <c r="N441" s="3">
        <f>Table1[[#This Row],[Quantity]]*Table1[[#This Row],[Unit_Price]]</f>
        <v>20126.52</v>
      </c>
      <c r="O441" s="3">
        <f>Table1[[#This Row],[ Original_Spend ]]-Table1[[#This Row],[ Total_Spend ]]</f>
        <v>632.70000000000073</v>
      </c>
      <c r="P441" s="2">
        <f t="shared" si="31"/>
        <v>3.1436135009927237E-2</v>
      </c>
      <c r="Q441" s="2">
        <f t="shared" si="32"/>
        <v>2.4024024024024024E-2</v>
      </c>
      <c r="R441" t="str">
        <f t="shared" si="33"/>
        <v>On Time</v>
      </c>
      <c r="S441" t="str">
        <f t="shared" si="34"/>
        <v>OK</v>
      </c>
    </row>
    <row r="442" spans="1:19" x14ac:dyDescent="0.25">
      <c r="A442" t="s">
        <v>467</v>
      </c>
      <c r="B442" t="s">
        <v>12</v>
      </c>
      <c r="C442" s="1">
        <v>45127</v>
      </c>
      <c r="D442" s="1">
        <v>45140</v>
      </c>
      <c r="E442" t="s">
        <v>39</v>
      </c>
      <c r="F442" t="s">
        <v>14</v>
      </c>
      <c r="G442">
        <v>928</v>
      </c>
      <c r="H442" s="3">
        <v>69.31</v>
      </c>
      <c r="I442" s="3">
        <v>67.260000000000005</v>
      </c>
      <c r="J442">
        <v>20</v>
      </c>
      <c r="K442" t="s">
        <v>15</v>
      </c>
      <c r="L442">
        <f t="shared" si="30"/>
        <v>13</v>
      </c>
      <c r="M442" s="3">
        <f>Table1[[#This Row],[Quantity]]*Table1[[#This Row],[Negotiated_Price]]</f>
        <v>62417.280000000006</v>
      </c>
      <c r="N442" s="3">
        <f>Table1[[#This Row],[Quantity]]*Table1[[#This Row],[Unit_Price]]</f>
        <v>64319.68</v>
      </c>
      <c r="O442" s="3">
        <f>Table1[[#This Row],[ Original_Spend ]]-Table1[[#This Row],[ Total_Spend ]]</f>
        <v>1902.3999999999942</v>
      </c>
      <c r="P442" s="2">
        <f t="shared" si="31"/>
        <v>2.9577261578415722E-2</v>
      </c>
      <c r="Q442" s="2">
        <f t="shared" si="32"/>
        <v>2.1551724137931036E-2</v>
      </c>
      <c r="R442" t="str">
        <f t="shared" si="33"/>
        <v>Cancelled</v>
      </c>
      <c r="S442" t="str">
        <f t="shared" si="34"/>
        <v>Status-Date Conflict</v>
      </c>
    </row>
    <row r="443" spans="1:19" x14ac:dyDescent="0.25">
      <c r="A443" t="s">
        <v>468</v>
      </c>
      <c r="B443" t="s">
        <v>29</v>
      </c>
      <c r="C443" s="1">
        <v>44713</v>
      </c>
      <c r="D443" s="1">
        <v>44724</v>
      </c>
      <c r="E443" t="s">
        <v>21</v>
      </c>
      <c r="F443" t="s">
        <v>33</v>
      </c>
      <c r="G443">
        <v>1009</v>
      </c>
      <c r="H443" s="3">
        <v>16.440000000000001</v>
      </c>
      <c r="I443" s="3">
        <v>16.18</v>
      </c>
      <c r="K443" t="s">
        <v>15</v>
      </c>
      <c r="L443">
        <f t="shared" si="30"/>
        <v>11</v>
      </c>
      <c r="M443" s="3">
        <f>Table1[[#This Row],[Quantity]]*Table1[[#This Row],[Negotiated_Price]]</f>
        <v>16325.619999999999</v>
      </c>
      <c r="N443" s="3">
        <f>Table1[[#This Row],[Quantity]]*Table1[[#This Row],[Unit_Price]]</f>
        <v>16587.960000000003</v>
      </c>
      <c r="O443" s="3">
        <f>Table1[[#This Row],[ Original_Spend ]]-Table1[[#This Row],[ Total_Spend ]]</f>
        <v>262.34000000000378</v>
      </c>
      <c r="P443" s="2">
        <f t="shared" si="31"/>
        <v>1.5815085158151079E-2</v>
      </c>
      <c r="Q443" s="2">
        <f t="shared" si="32"/>
        <v>0</v>
      </c>
      <c r="R443" t="str">
        <f t="shared" si="33"/>
        <v>Partially Delivered</v>
      </c>
      <c r="S443" t="str">
        <f t="shared" si="34"/>
        <v>Status-Date Conflict</v>
      </c>
    </row>
    <row r="444" spans="1:19" x14ac:dyDescent="0.25">
      <c r="A444" t="s">
        <v>469</v>
      </c>
      <c r="B444" t="s">
        <v>29</v>
      </c>
      <c r="C444" s="1">
        <v>45002</v>
      </c>
      <c r="D444" s="1">
        <v>45019</v>
      </c>
      <c r="E444" t="s">
        <v>39</v>
      </c>
      <c r="F444" t="s">
        <v>35</v>
      </c>
      <c r="G444">
        <v>1554</v>
      </c>
      <c r="H444" s="3">
        <v>82.92</v>
      </c>
      <c r="I444" s="3">
        <v>74.819999999999993</v>
      </c>
      <c r="J444">
        <v>44</v>
      </c>
      <c r="K444" t="s">
        <v>15</v>
      </c>
      <c r="L444">
        <f t="shared" si="30"/>
        <v>17</v>
      </c>
      <c r="M444" s="3">
        <f>Table1[[#This Row],[Quantity]]*Table1[[#This Row],[Negotiated_Price]]</f>
        <v>116270.27999999998</v>
      </c>
      <c r="N444" s="3">
        <f>Table1[[#This Row],[Quantity]]*Table1[[#This Row],[Unit_Price]]</f>
        <v>128857.68000000001</v>
      </c>
      <c r="O444" s="3">
        <f>Table1[[#This Row],[ Original_Spend ]]-Table1[[#This Row],[ Total_Spend ]]</f>
        <v>12587.400000000023</v>
      </c>
      <c r="P444" s="2">
        <f t="shared" si="31"/>
        <v>9.7684515195369206E-2</v>
      </c>
      <c r="Q444" s="2">
        <f t="shared" si="32"/>
        <v>2.8314028314028315E-2</v>
      </c>
      <c r="R444" t="str">
        <f t="shared" si="33"/>
        <v>Pending</v>
      </c>
      <c r="S444" t="str">
        <f t="shared" si="34"/>
        <v>Status-Date Conflict</v>
      </c>
    </row>
    <row r="445" spans="1:19" x14ac:dyDescent="0.25">
      <c r="A445" t="s">
        <v>470</v>
      </c>
      <c r="B445" t="s">
        <v>20</v>
      </c>
      <c r="C445" s="1">
        <v>44692</v>
      </c>
      <c r="D445" s="1">
        <v>44706</v>
      </c>
      <c r="E445" t="s">
        <v>24</v>
      </c>
      <c r="F445" t="s">
        <v>33</v>
      </c>
      <c r="G445">
        <v>502</v>
      </c>
      <c r="H445" s="3">
        <v>29.47</v>
      </c>
      <c r="I445" s="3">
        <v>28.94</v>
      </c>
      <c r="J445">
        <v>27</v>
      </c>
      <c r="K445" t="s">
        <v>15</v>
      </c>
      <c r="L445">
        <f t="shared" si="30"/>
        <v>14</v>
      </c>
      <c r="M445" s="3">
        <f>Table1[[#This Row],[Quantity]]*Table1[[#This Row],[Negotiated_Price]]</f>
        <v>14527.880000000001</v>
      </c>
      <c r="N445" s="3">
        <f>Table1[[#This Row],[Quantity]]*Table1[[#This Row],[Unit_Price]]</f>
        <v>14793.939999999999</v>
      </c>
      <c r="O445" s="3">
        <f>Table1[[#This Row],[ Original_Spend ]]-Table1[[#This Row],[ Total_Spend ]]</f>
        <v>266.05999999999767</v>
      </c>
      <c r="P445" s="2">
        <f t="shared" si="31"/>
        <v>1.7984390906005954E-2</v>
      </c>
      <c r="Q445" s="2">
        <f t="shared" si="32"/>
        <v>5.3784860557768925E-2</v>
      </c>
      <c r="R445" t="str">
        <f t="shared" si="33"/>
        <v>Partially Delivered</v>
      </c>
      <c r="S445" t="str">
        <f t="shared" si="34"/>
        <v>Status-Date Conflict</v>
      </c>
    </row>
    <row r="446" spans="1:19" x14ac:dyDescent="0.25">
      <c r="A446" t="s">
        <v>471</v>
      </c>
      <c r="B446" t="s">
        <v>17</v>
      </c>
      <c r="C446" s="1">
        <v>44604</v>
      </c>
      <c r="D446" s="1">
        <v>44605</v>
      </c>
      <c r="E446" t="s">
        <v>21</v>
      </c>
      <c r="F446" t="s">
        <v>18</v>
      </c>
      <c r="G446">
        <v>1069</v>
      </c>
      <c r="H446" s="3">
        <v>91.28</v>
      </c>
      <c r="I446" s="3">
        <v>82.64</v>
      </c>
      <c r="K446" t="s">
        <v>15</v>
      </c>
      <c r="L446">
        <f t="shared" si="30"/>
        <v>1</v>
      </c>
      <c r="M446" s="3">
        <f>Table1[[#This Row],[Quantity]]*Table1[[#This Row],[Negotiated_Price]]</f>
        <v>88342.16</v>
      </c>
      <c r="N446" s="3">
        <f>Table1[[#This Row],[Quantity]]*Table1[[#This Row],[Unit_Price]]</f>
        <v>97578.32</v>
      </c>
      <c r="O446" s="3">
        <f>Table1[[#This Row],[ Original_Spend ]]-Table1[[#This Row],[ Total_Spend ]]</f>
        <v>9236.1600000000035</v>
      </c>
      <c r="P446" s="2">
        <f t="shared" si="31"/>
        <v>9.4653812445223515E-2</v>
      </c>
      <c r="Q446" s="2">
        <f t="shared" si="32"/>
        <v>0</v>
      </c>
      <c r="R446" t="str">
        <f t="shared" si="33"/>
        <v>On Time</v>
      </c>
      <c r="S446" t="str">
        <f t="shared" si="34"/>
        <v>OK</v>
      </c>
    </row>
    <row r="447" spans="1:19" x14ac:dyDescent="0.25">
      <c r="A447" t="s">
        <v>472</v>
      </c>
      <c r="B447" t="s">
        <v>12</v>
      </c>
      <c r="C447" s="1">
        <v>44877</v>
      </c>
      <c r="D447" s="1">
        <v>44883</v>
      </c>
      <c r="E447" t="s">
        <v>21</v>
      </c>
      <c r="F447" t="s">
        <v>35</v>
      </c>
      <c r="G447">
        <v>1902</v>
      </c>
      <c r="H447" s="3">
        <v>29.89</v>
      </c>
      <c r="I447" s="3">
        <v>25.83</v>
      </c>
      <c r="J447">
        <v>41</v>
      </c>
      <c r="K447" t="s">
        <v>15</v>
      </c>
      <c r="L447">
        <f t="shared" si="30"/>
        <v>6</v>
      </c>
      <c r="M447" s="3">
        <f>Table1[[#This Row],[Quantity]]*Table1[[#This Row],[Negotiated_Price]]</f>
        <v>49128.659999999996</v>
      </c>
      <c r="N447" s="3">
        <f>Table1[[#This Row],[Quantity]]*Table1[[#This Row],[Unit_Price]]</f>
        <v>56850.78</v>
      </c>
      <c r="O447" s="3">
        <f>Table1[[#This Row],[ Original_Spend ]]-Table1[[#This Row],[ Total_Spend ]]</f>
        <v>7722.1200000000026</v>
      </c>
      <c r="P447" s="2">
        <f t="shared" si="31"/>
        <v>0.13583138173302112</v>
      </c>
      <c r="Q447" s="2">
        <f t="shared" si="32"/>
        <v>2.1556256572029444E-2</v>
      </c>
      <c r="R447" t="str">
        <f t="shared" si="33"/>
        <v>Pending</v>
      </c>
      <c r="S447" t="str">
        <f t="shared" si="34"/>
        <v>Status-Date Conflict</v>
      </c>
    </row>
    <row r="448" spans="1:19" x14ac:dyDescent="0.25">
      <c r="A448" t="s">
        <v>473</v>
      </c>
      <c r="B448" t="s">
        <v>20</v>
      </c>
      <c r="C448" s="1">
        <v>44935</v>
      </c>
      <c r="E448" t="s">
        <v>26</v>
      </c>
      <c r="F448" t="s">
        <v>35</v>
      </c>
      <c r="G448">
        <v>865</v>
      </c>
      <c r="H448" s="3">
        <v>28.79</v>
      </c>
      <c r="I448" s="3">
        <v>25.69</v>
      </c>
      <c r="J448">
        <v>47</v>
      </c>
      <c r="K448" t="s">
        <v>15</v>
      </c>
      <c r="L448" t="str">
        <f t="shared" si="30"/>
        <v/>
      </c>
      <c r="M448" s="3">
        <f>Table1[[#This Row],[Quantity]]*Table1[[#This Row],[Negotiated_Price]]</f>
        <v>22221.850000000002</v>
      </c>
      <c r="N448" s="3">
        <f>Table1[[#This Row],[Quantity]]*Table1[[#This Row],[Unit_Price]]</f>
        <v>24903.35</v>
      </c>
      <c r="O448" s="3">
        <f>Table1[[#This Row],[ Original_Spend ]]-Table1[[#This Row],[ Total_Spend ]]</f>
        <v>2681.4999999999964</v>
      </c>
      <c r="P448" s="2">
        <f t="shared" si="31"/>
        <v>0.10767627648489045</v>
      </c>
      <c r="Q448" s="2">
        <f t="shared" si="32"/>
        <v>5.4335260115606937E-2</v>
      </c>
      <c r="R448" t="str">
        <f t="shared" si="33"/>
        <v>Pending</v>
      </c>
      <c r="S448" t="str">
        <f t="shared" si="34"/>
        <v>OK</v>
      </c>
    </row>
    <row r="449" spans="1:19" x14ac:dyDescent="0.25">
      <c r="A449" t="s">
        <v>474</v>
      </c>
      <c r="B449" t="s">
        <v>17</v>
      </c>
      <c r="C449" s="1">
        <v>44602</v>
      </c>
      <c r="D449" s="1">
        <v>44618</v>
      </c>
      <c r="E449" t="s">
        <v>24</v>
      </c>
      <c r="F449" t="s">
        <v>33</v>
      </c>
      <c r="G449">
        <v>708</v>
      </c>
      <c r="H449" s="3">
        <v>13.36</v>
      </c>
      <c r="I449" s="3">
        <v>11.61</v>
      </c>
      <c r="K449" t="s">
        <v>27</v>
      </c>
      <c r="L449">
        <f t="shared" si="30"/>
        <v>16</v>
      </c>
      <c r="M449" s="3">
        <f>Table1[[#This Row],[Quantity]]*Table1[[#This Row],[Negotiated_Price]]</f>
        <v>8219.8799999999992</v>
      </c>
      <c r="N449" s="3">
        <f>Table1[[#This Row],[Quantity]]*Table1[[#This Row],[Unit_Price]]</f>
        <v>9458.8799999999992</v>
      </c>
      <c r="O449" s="3">
        <f>Table1[[#This Row],[ Original_Spend ]]-Table1[[#This Row],[ Total_Spend ]]</f>
        <v>1239</v>
      </c>
      <c r="P449" s="2">
        <f t="shared" si="31"/>
        <v>0.13098802395209583</v>
      </c>
      <c r="Q449" s="2">
        <f t="shared" si="32"/>
        <v>0</v>
      </c>
      <c r="R449" t="str">
        <f t="shared" si="33"/>
        <v>Partially Delivered</v>
      </c>
      <c r="S449" t="str">
        <f t="shared" si="34"/>
        <v>Status-Date Conflict</v>
      </c>
    </row>
    <row r="450" spans="1:19" x14ac:dyDescent="0.25">
      <c r="A450" t="s">
        <v>475</v>
      </c>
      <c r="B450" t="s">
        <v>17</v>
      </c>
      <c r="C450" s="1">
        <v>44928</v>
      </c>
      <c r="D450" s="1">
        <v>44933</v>
      </c>
      <c r="E450" t="s">
        <v>24</v>
      </c>
      <c r="F450" t="s">
        <v>18</v>
      </c>
      <c r="G450">
        <v>1589</v>
      </c>
      <c r="H450" s="3">
        <v>55.64</v>
      </c>
      <c r="I450" s="3">
        <v>48.52</v>
      </c>
      <c r="K450" t="s">
        <v>15</v>
      </c>
      <c r="L450">
        <f t="shared" ref="L450:L513" si="35">IF(OR(C450="",D450=""),"",D450-C450)</f>
        <v>5</v>
      </c>
      <c r="M450" s="3">
        <f>Table1[[#This Row],[Quantity]]*Table1[[#This Row],[Negotiated_Price]]</f>
        <v>77098.28</v>
      </c>
      <c r="N450" s="3">
        <f>Table1[[#This Row],[Quantity]]*Table1[[#This Row],[Unit_Price]]</f>
        <v>88411.96</v>
      </c>
      <c r="O450" s="3">
        <f>Table1[[#This Row],[ Original_Spend ]]-Table1[[#This Row],[ Total_Spend ]]</f>
        <v>11313.680000000008</v>
      </c>
      <c r="P450" s="2">
        <f t="shared" ref="P450:P513" si="36">IFERROR(O450/N450,0)</f>
        <v>0.12796549245147384</v>
      </c>
      <c r="Q450" s="2">
        <f t="shared" ref="Q450:Q513" si="37">IFERROR(J450/G450,0)</f>
        <v>0</v>
      </c>
      <c r="R450" t="str">
        <f t="shared" si="33"/>
        <v>On Time</v>
      </c>
      <c r="S450" t="str">
        <f t="shared" si="34"/>
        <v>OK</v>
      </c>
    </row>
    <row r="451" spans="1:19" x14ac:dyDescent="0.25">
      <c r="A451" t="s">
        <v>476</v>
      </c>
      <c r="B451" t="s">
        <v>12</v>
      </c>
      <c r="C451" s="1">
        <v>44777</v>
      </c>
      <c r="D451" s="1">
        <v>44787</v>
      </c>
      <c r="E451" t="s">
        <v>13</v>
      </c>
      <c r="F451" t="s">
        <v>18</v>
      </c>
      <c r="G451">
        <v>596</v>
      </c>
      <c r="H451" s="3">
        <v>62.96</v>
      </c>
      <c r="I451" s="3">
        <v>61.88</v>
      </c>
      <c r="J451">
        <v>9</v>
      </c>
      <c r="K451" t="s">
        <v>15</v>
      </c>
      <c r="L451">
        <f t="shared" si="35"/>
        <v>10</v>
      </c>
      <c r="M451" s="3">
        <f>Table1[[#This Row],[Quantity]]*Table1[[#This Row],[Negotiated_Price]]</f>
        <v>36880.480000000003</v>
      </c>
      <c r="N451" s="3">
        <f>Table1[[#This Row],[Quantity]]*Table1[[#This Row],[Unit_Price]]</f>
        <v>37524.160000000003</v>
      </c>
      <c r="O451" s="3">
        <f>Table1[[#This Row],[ Original_Spend ]]-Table1[[#This Row],[ Total_Spend ]]</f>
        <v>643.68000000000029</v>
      </c>
      <c r="P451" s="2">
        <f t="shared" si="36"/>
        <v>1.7153748411689967E-2</v>
      </c>
      <c r="Q451" s="2">
        <f t="shared" si="37"/>
        <v>1.5100671140939598E-2</v>
      </c>
      <c r="R451" t="str">
        <f t="shared" ref="R451:R514" si="38">IF(F451&lt;&gt;"Delivered",F451,IF(D451="","Missing Delivery Date",IF(L451&lt;=10,"On Time","Late")))</f>
        <v>On Time</v>
      </c>
      <c r="S451" t="str">
        <f t="shared" ref="S451:S514" si="39">IF(AND(F451&lt;&gt;"Delivered",D451&lt;&gt;""),"Status-Date Conflict",IF(AND(F451="Delivered",D451=""),"Missing Delivery Date","OK"))</f>
        <v>OK</v>
      </c>
    </row>
    <row r="452" spans="1:19" x14ac:dyDescent="0.25">
      <c r="A452" t="s">
        <v>477</v>
      </c>
      <c r="B452" t="s">
        <v>29</v>
      </c>
      <c r="C452" s="1">
        <v>45260</v>
      </c>
      <c r="D452" s="1">
        <v>45264</v>
      </c>
      <c r="E452" t="s">
        <v>13</v>
      </c>
      <c r="F452" t="s">
        <v>18</v>
      </c>
      <c r="G452">
        <v>1265</v>
      </c>
      <c r="H452" s="3">
        <v>17.66</v>
      </c>
      <c r="I452" s="3">
        <v>16.97</v>
      </c>
      <c r="J452">
        <v>34</v>
      </c>
      <c r="K452" t="s">
        <v>15</v>
      </c>
      <c r="L452">
        <f t="shared" si="35"/>
        <v>4</v>
      </c>
      <c r="M452" s="3">
        <f>Table1[[#This Row],[Quantity]]*Table1[[#This Row],[Negotiated_Price]]</f>
        <v>21467.05</v>
      </c>
      <c r="N452" s="3">
        <f>Table1[[#This Row],[Quantity]]*Table1[[#This Row],[Unit_Price]]</f>
        <v>22339.9</v>
      </c>
      <c r="O452" s="3">
        <f>Table1[[#This Row],[ Original_Spend ]]-Table1[[#This Row],[ Total_Spend ]]</f>
        <v>872.85000000000218</v>
      </c>
      <c r="P452" s="2">
        <f t="shared" si="36"/>
        <v>3.9071347678369291E-2</v>
      </c>
      <c r="Q452" s="2">
        <f t="shared" si="37"/>
        <v>2.6877470355731226E-2</v>
      </c>
      <c r="R452" t="str">
        <f t="shared" si="38"/>
        <v>On Time</v>
      </c>
      <c r="S452" t="str">
        <f t="shared" si="39"/>
        <v>OK</v>
      </c>
    </row>
    <row r="453" spans="1:19" x14ac:dyDescent="0.25">
      <c r="A453" t="s">
        <v>478</v>
      </c>
      <c r="B453" t="s">
        <v>23</v>
      </c>
      <c r="C453" s="1">
        <v>44817</v>
      </c>
      <c r="D453" s="1">
        <v>44835</v>
      </c>
      <c r="E453" t="s">
        <v>26</v>
      </c>
      <c r="F453" t="s">
        <v>18</v>
      </c>
      <c r="G453">
        <v>1122</v>
      </c>
      <c r="H453" s="3">
        <v>82.99</v>
      </c>
      <c r="I453" s="3">
        <v>81.7</v>
      </c>
      <c r="J453">
        <v>118</v>
      </c>
      <c r="K453" t="s">
        <v>27</v>
      </c>
      <c r="L453">
        <f t="shared" si="35"/>
        <v>18</v>
      </c>
      <c r="M453" s="3">
        <f>Table1[[#This Row],[Quantity]]*Table1[[#This Row],[Negotiated_Price]]</f>
        <v>91667.400000000009</v>
      </c>
      <c r="N453" s="3">
        <f>Table1[[#This Row],[Quantity]]*Table1[[#This Row],[Unit_Price]]</f>
        <v>93114.78</v>
      </c>
      <c r="O453" s="3">
        <f>Table1[[#This Row],[ Original_Spend ]]-Table1[[#This Row],[ Total_Spend ]]</f>
        <v>1447.3799999999901</v>
      </c>
      <c r="P453" s="2">
        <f t="shared" si="36"/>
        <v>1.5544041450777096E-2</v>
      </c>
      <c r="Q453" s="2">
        <f t="shared" si="37"/>
        <v>0.10516934046345811</v>
      </c>
      <c r="R453" t="str">
        <f t="shared" si="38"/>
        <v>Late</v>
      </c>
      <c r="S453" t="str">
        <f t="shared" si="39"/>
        <v>OK</v>
      </c>
    </row>
    <row r="454" spans="1:19" x14ac:dyDescent="0.25">
      <c r="A454" t="s">
        <v>479</v>
      </c>
      <c r="B454" t="s">
        <v>29</v>
      </c>
      <c r="C454" s="1">
        <v>45244</v>
      </c>
      <c r="D454" s="1">
        <v>45261</v>
      </c>
      <c r="E454" t="s">
        <v>13</v>
      </c>
      <c r="F454" t="s">
        <v>18</v>
      </c>
      <c r="G454">
        <v>1585</v>
      </c>
      <c r="H454" s="3">
        <v>56.38</v>
      </c>
      <c r="I454" s="3">
        <v>53.05</v>
      </c>
      <c r="K454" t="s">
        <v>15</v>
      </c>
      <c r="L454">
        <f t="shared" si="35"/>
        <v>17</v>
      </c>
      <c r="M454" s="3">
        <f>Table1[[#This Row],[Quantity]]*Table1[[#This Row],[Negotiated_Price]]</f>
        <v>84084.25</v>
      </c>
      <c r="N454" s="3">
        <f>Table1[[#This Row],[Quantity]]*Table1[[#This Row],[Unit_Price]]</f>
        <v>89362.3</v>
      </c>
      <c r="O454" s="3">
        <f>Table1[[#This Row],[ Original_Spend ]]-Table1[[#This Row],[ Total_Spend ]]</f>
        <v>5278.0500000000029</v>
      </c>
      <c r="P454" s="2">
        <f t="shared" si="36"/>
        <v>5.9063497694217836E-2</v>
      </c>
      <c r="Q454" s="2">
        <f t="shared" si="37"/>
        <v>0</v>
      </c>
      <c r="R454" t="str">
        <f t="shared" si="38"/>
        <v>Late</v>
      </c>
      <c r="S454" t="str">
        <f t="shared" si="39"/>
        <v>OK</v>
      </c>
    </row>
    <row r="455" spans="1:19" x14ac:dyDescent="0.25">
      <c r="A455" t="s">
        <v>480</v>
      </c>
      <c r="B455" t="s">
        <v>29</v>
      </c>
      <c r="C455" s="1">
        <v>44667</v>
      </c>
      <c r="D455" s="1">
        <v>44678</v>
      </c>
      <c r="E455" t="s">
        <v>39</v>
      </c>
      <c r="F455" t="s">
        <v>18</v>
      </c>
      <c r="G455">
        <v>66</v>
      </c>
      <c r="H455" s="3">
        <v>58.05</v>
      </c>
      <c r="I455" s="3">
        <v>50.76</v>
      </c>
      <c r="K455" t="s">
        <v>15</v>
      </c>
      <c r="L455">
        <f t="shared" si="35"/>
        <v>11</v>
      </c>
      <c r="M455" s="3">
        <f>Table1[[#This Row],[Quantity]]*Table1[[#This Row],[Negotiated_Price]]</f>
        <v>3350.16</v>
      </c>
      <c r="N455" s="3">
        <f>Table1[[#This Row],[Quantity]]*Table1[[#This Row],[Unit_Price]]</f>
        <v>3831.2999999999997</v>
      </c>
      <c r="O455" s="3">
        <f>Table1[[#This Row],[ Original_Spend ]]-Table1[[#This Row],[ Total_Spend ]]</f>
        <v>481.13999999999987</v>
      </c>
      <c r="P455" s="2">
        <f t="shared" si="36"/>
        <v>0.12558139534883719</v>
      </c>
      <c r="Q455" s="2">
        <f t="shared" si="37"/>
        <v>0</v>
      </c>
      <c r="R455" t="str">
        <f t="shared" si="38"/>
        <v>Late</v>
      </c>
      <c r="S455" t="str">
        <f t="shared" si="39"/>
        <v>OK</v>
      </c>
    </row>
    <row r="456" spans="1:19" x14ac:dyDescent="0.25">
      <c r="A456" t="s">
        <v>481</v>
      </c>
      <c r="B456" t="s">
        <v>23</v>
      </c>
      <c r="C456" s="1">
        <v>44924</v>
      </c>
      <c r="D456" s="1">
        <v>44944</v>
      </c>
      <c r="E456" t="s">
        <v>21</v>
      </c>
      <c r="F456" t="s">
        <v>18</v>
      </c>
      <c r="G456">
        <v>1245</v>
      </c>
      <c r="H456" s="3">
        <v>52.4</v>
      </c>
      <c r="I456" s="3">
        <v>51.65</v>
      </c>
      <c r="J456">
        <v>118</v>
      </c>
      <c r="K456" t="s">
        <v>27</v>
      </c>
      <c r="L456">
        <f t="shared" si="35"/>
        <v>20</v>
      </c>
      <c r="M456" s="3">
        <f>Table1[[#This Row],[Quantity]]*Table1[[#This Row],[Negotiated_Price]]</f>
        <v>64304.25</v>
      </c>
      <c r="N456" s="3">
        <f>Table1[[#This Row],[Quantity]]*Table1[[#This Row],[Unit_Price]]</f>
        <v>65238</v>
      </c>
      <c r="O456" s="3">
        <f>Table1[[#This Row],[ Original_Spend ]]-Table1[[#This Row],[ Total_Spend ]]</f>
        <v>933.75</v>
      </c>
      <c r="P456" s="2">
        <f t="shared" si="36"/>
        <v>1.4312977099236641E-2</v>
      </c>
      <c r="Q456" s="2">
        <f t="shared" si="37"/>
        <v>9.4779116465863456E-2</v>
      </c>
      <c r="R456" t="str">
        <f t="shared" si="38"/>
        <v>Late</v>
      </c>
      <c r="S456" t="str">
        <f t="shared" si="39"/>
        <v>OK</v>
      </c>
    </row>
    <row r="457" spans="1:19" x14ac:dyDescent="0.25">
      <c r="A457" t="s">
        <v>482</v>
      </c>
      <c r="B457" t="s">
        <v>17</v>
      </c>
      <c r="C457" s="1">
        <v>45135</v>
      </c>
      <c r="D457" s="1">
        <v>45148</v>
      </c>
      <c r="E457" t="s">
        <v>39</v>
      </c>
      <c r="F457" t="s">
        <v>18</v>
      </c>
      <c r="G457">
        <v>1293</v>
      </c>
      <c r="H457" s="3">
        <v>50.21</v>
      </c>
      <c r="I457" s="3">
        <v>47.55</v>
      </c>
      <c r="K457" t="s">
        <v>27</v>
      </c>
      <c r="L457">
        <f t="shared" si="35"/>
        <v>13</v>
      </c>
      <c r="M457" s="3">
        <f>Table1[[#This Row],[Quantity]]*Table1[[#This Row],[Negotiated_Price]]</f>
        <v>61482.149999999994</v>
      </c>
      <c r="N457" s="3">
        <f>Table1[[#This Row],[Quantity]]*Table1[[#This Row],[Unit_Price]]</f>
        <v>64921.53</v>
      </c>
      <c r="O457" s="3">
        <f>Table1[[#This Row],[ Original_Spend ]]-Table1[[#This Row],[ Total_Spend ]]</f>
        <v>3439.3800000000047</v>
      </c>
      <c r="P457" s="2">
        <f t="shared" si="36"/>
        <v>5.297749452300346E-2</v>
      </c>
      <c r="Q457" s="2">
        <f t="shared" si="37"/>
        <v>0</v>
      </c>
      <c r="R457" t="str">
        <f t="shared" si="38"/>
        <v>Late</v>
      </c>
      <c r="S457" t="str">
        <f t="shared" si="39"/>
        <v>OK</v>
      </c>
    </row>
    <row r="458" spans="1:19" x14ac:dyDescent="0.25">
      <c r="A458" t="s">
        <v>483</v>
      </c>
      <c r="B458" t="s">
        <v>23</v>
      </c>
      <c r="C458" s="1">
        <v>44978</v>
      </c>
      <c r="D458" s="1">
        <v>44984</v>
      </c>
      <c r="E458" t="s">
        <v>24</v>
      </c>
      <c r="F458" t="s">
        <v>18</v>
      </c>
      <c r="G458">
        <v>207</v>
      </c>
      <c r="H458" s="3">
        <v>64.290000000000006</v>
      </c>
      <c r="I458" s="3">
        <v>63.01</v>
      </c>
      <c r="J458">
        <v>25</v>
      </c>
      <c r="K458" t="s">
        <v>15</v>
      </c>
      <c r="L458">
        <f t="shared" si="35"/>
        <v>6</v>
      </c>
      <c r="M458" s="3">
        <f>Table1[[#This Row],[Quantity]]*Table1[[#This Row],[Negotiated_Price]]</f>
        <v>13043.07</v>
      </c>
      <c r="N458" s="3">
        <f>Table1[[#This Row],[Quantity]]*Table1[[#This Row],[Unit_Price]]</f>
        <v>13308.03</v>
      </c>
      <c r="O458" s="3">
        <f>Table1[[#This Row],[ Original_Spend ]]-Table1[[#This Row],[ Total_Spend ]]</f>
        <v>264.96000000000095</v>
      </c>
      <c r="P458" s="2">
        <f t="shared" si="36"/>
        <v>1.9909783792191701E-2</v>
      </c>
      <c r="Q458" s="2">
        <f t="shared" si="37"/>
        <v>0.12077294685990338</v>
      </c>
      <c r="R458" t="str">
        <f t="shared" si="38"/>
        <v>On Time</v>
      </c>
      <c r="S458" t="str">
        <f t="shared" si="39"/>
        <v>OK</v>
      </c>
    </row>
    <row r="459" spans="1:19" x14ac:dyDescent="0.25">
      <c r="A459" t="s">
        <v>484</v>
      </c>
      <c r="B459" t="s">
        <v>23</v>
      </c>
      <c r="C459" s="1">
        <v>45197</v>
      </c>
      <c r="D459" s="1">
        <v>45217</v>
      </c>
      <c r="E459" t="s">
        <v>13</v>
      </c>
      <c r="F459" t="s">
        <v>18</v>
      </c>
      <c r="G459">
        <v>526</v>
      </c>
      <c r="H459" s="3">
        <v>26.37</v>
      </c>
      <c r="I459" s="3">
        <v>25.32</v>
      </c>
      <c r="J459">
        <v>47</v>
      </c>
      <c r="K459" t="s">
        <v>15</v>
      </c>
      <c r="L459">
        <f t="shared" si="35"/>
        <v>20</v>
      </c>
      <c r="M459" s="3">
        <f>Table1[[#This Row],[Quantity]]*Table1[[#This Row],[Negotiated_Price]]</f>
        <v>13318.32</v>
      </c>
      <c r="N459" s="3">
        <f>Table1[[#This Row],[Quantity]]*Table1[[#This Row],[Unit_Price]]</f>
        <v>13870.62</v>
      </c>
      <c r="O459" s="3">
        <f>Table1[[#This Row],[ Original_Spend ]]-Table1[[#This Row],[ Total_Spend ]]</f>
        <v>552.30000000000109</v>
      </c>
      <c r="P459" s="2">
        <f t="shared" si="36"/>
        <v>3.9817974971558666E-2</v>
      </c>
      <c r="Q459" s="2">
        <f t="shared" si="37"/>
        <v>8.9353612167300381E-2</v>
      </c>
      <c r="R459" t="str">
        <f t="shared" si="38"/>
        <v>Late</v>
      </c>
      <c r="S459" t="str">
        <f t="shared" si="39"/>
        <v>OK</v>
      </c>
    </row>
    <row r="460" spans="1:19" x14ac:dyDescent="0.25">
      <c r="A460" t="s">
        <v>485</v>
      </c>
      <c r="B460" t="s">
        <v>20</v>
      </c>
      <c r="C460" s="1">
        <v>44720</v>
      </c>
      <c r="D460" s="1">
        <v>44726</v>
      </c>
      <c r="E460" t="s">
        <v>39</v>
      </c>
      <c r="F460" t="s">
        <v>18</v>
      </c>
      <c r="G460">
        <v>1119</v>
      </c>
      <c r="H460" s="3">
        <v>27.03</v>
      </c>
      <c r="I460" s="3">
        <v>23.82</v>
      </c>
      <c r="K460" t="s">
        <v>15</v>
      </c>
      <c r="L460">
        <f t="shared" si="35"/>
        <v>6</v>
      </c>
      <c r="M460" s="3">
        <f>Table1[[#This Row],[Quantity]]*Table1[[#This Row],[Negotiated_Price]]</f>
        <v>26654.58</v>
      </c>
      <c r="N460" s="3">
        <f>Table1[[#This Row],[Quantity]]*Table1[[#This Row],[Unit_Price]]</f>
        <v>30246.57</v>
      </c>
      <c r="O460" s="3">
        <f>Table1[[#This Row],[ Original_Spend ]]-Table1[[#This Row],[ Total_Spend ]]</f>
        <v>3591.989999999998</v>
      </c>
      <c r="P460" s="2">
        <f t="shared" si="36"/>
        <v>0.11875693673695886</v>
      </c>
      <c r="Q460" s="2">
        <f t="shared" si="37"/>
        <v>0</v>
      </c>
      <c r="R460" t="str">
        <f t="shared" si="38"/>
        <v>On Time</v>
      </c>
      <c r="S460" t="str">
        <f t="shared" si="39"/>
        <v>OK</v>
      </c>
    </row>
    <row r="461" spans="1:19" x14ac:dyDescent="0.25">
      <c r="A461" t="s">
        <v>486</v>
      </c>
      <c r="B461" t="s">
        <v>20</v>
      </c>
      <c r="C461" s="1">
        <v>44804</v>
      </c>
      <c r="D461" s="1">
        <v>44806</v>
      </c>
      <c r="E461" t="s">
        <v>24</v>
      </c>
      <c r="F461" t="s">
        <v>18</v>
      </c>
      <c r="G461">
        <v>1446</v>
      </c>
      <c r="H461" s="3">
        <v>90.63</v>
      </c>
      <c r="I461" s="3">
        <v>84.51</v>
      </c>
      <c r="J461">
        <v>77</v>
      </c>
      <c r="K461" t="s">
        <v>15</v>
      </c>
      <c r="L461">
        <f t="shared" si="35"/>
        <v>2</v>
      </c>
      <c r="M461" s="3">
        <f>Table1[[#This Row],[Quantity]]*Table1[[#This Row],[Negotiated_Price]]</f>
        <v>122201.46</v>
      </c>
      <c r="N461" s="3">
        <f>Table1[[#This Row],[Quantity]]*Table1[[#This Row],[Unit_Price]]</f>
        <v>131050.98</v>
      </c>
      <c r="O461" s="3">
        <f>Table1[[#This Row],[ Original_Spend ]]-Table1[[#This Row],[ Total_Spend ]]</f>
        <v>8849.5199999999895</v>
      </c>
      <c r="P461" s="2">
        <f t="shared" si="36"/>
        <v>6.7527308838132988E-2</v>
      </c>
      <c r="Q461" s="2">
        <f t="shared" si="37"/>
        <v>5.3250345781466112E-2</v>
      </c>
      <c r="R461" t="str">
        <f t="shared" si="38"/>
        <v>On Time</v>
      </c>
      <c r="S461" t="str">
        <f t="shared" si="39"/>
        <v>OK</v>
      </c>
    </row>
    <row r="462" spans="1:19" x14ac:dyDescent="0.25">
      <c r="A462" t="s">
        <v>487</v>
      </c>
      <c r="B462" t="s">
        <v>20</v>
      </c>
      <c r="C462" s="1">
        <v>44728</v>
      </c>
      <c r="D462" s="1">
        <v>44736</v>
      </c>
      <c r="E462" t="s">
        <v>13</v>
      </c>
      <c r="F462" t="s">
        <v>18</v>
      </c>
      <c r="G462">
        <v>567</v>
      </c>
      <c r="H462" s="3">
        <v>97.53</v>
      </c>
      <c r="I462" s="3">
        <v>85.29</v>
      </c>
      <c r="J462">
        <v>21</v>
      </c>
      <c r="K462" t="s">
        <v>15</v>
      </c>
      <c r="L462">
        <f t="shared" si="35"/>
        <v>8</v>
      </c>
      <c r="M462" s="3">
        <f>Table1[[#This Row],[Quantity]]*Table1[[#This Row],[Negotiated_Price]]</f>
        <v>48359.43</v>
      </c>
      <c r="N462" s="3">
        <f>Table1[[#This Row],[Quantity]]*Table1[[#This Row],[Unit_Price]]</f>
        <v>55299.51</v>
      </c>
      <c r="O462" s="3">
        <f>Table1[[#This Row],[ Original_Spend ]]-Table1[[#This Row],[ Total_Spend ]]</f>
        <v>6940.0800000000017</v>
      </c>
      <c r="P462" s="2">
        <f t="shared" si="36"/>
        <v>0.12549984620116889</v>
      </c>
      <c r="Q462" s="2">
        <f t="shared" si="37"/>
        <v>3.7037037037037035E-2</v>
      </c>
      <c r="R462" t="str">
        <f t="shared" si="38"/>
        <v>On Time</v>
      </c>
      <c r="S462" t="str">
        <f t="shared" si="39"/>
        <v>OK</v>
      </c>
    </row>
    <row r="463" spans="1:19" x14ac:dyDescent="0.25">
      <c r="A463" t="s">
        <v>488</v>
      </c>
      <c r="B463" t="s">
        <v>17</v>
      </c>
      <c r="C463" s="1">
        <v>44743</v>
      </c>
      <c r="E463" t="s">
        <v>21</v>
      </c>
      <c r="F463" t="s">
        <v>18</v>
      </c>
      <c r="G463">
        <v>148</v>
      </c>
      <c r="H463" s="3">
        <v>44.91</v>
      </c>
      <c r="I463" s="3">
        <v>40.1</v>
      </c>
      <c r="K463" t="s">
        <v>27</v>
      </c>
      <c r="L463" t="str">
        <f t="shared" si="35"/>
        <v/>
      </c>
      <c r="M463" s="3">
        <f>Table1[[#This Row],[Quantity]]*Table1[[#This Row],[Negotiated_Price]]</f>
        <v>5934.8</v>
      </c>
      <c r="N463" s="3">
        <f>Table1[[#This Row],[Quantity]]*Table1[[#This Row],[Unit_Price]]</f>
        <v>6646.6799999999994</v>
      </c>
      <c r="O463" s="3">
        <f>Table1[[#This Row],[ Original_Spend ]]-Table1[[#This Row],[ Total_Spend ]]</f>
        <v>711.8799999999992</v>
      </c>
      <c r="P463" s="2">
        <f t="shared" si="36"/>
        <v>0.10710309507904688</v>
      </c>
      <c r="Q463" s="2">
        <f t="shared" si="37"/>
        <v>0</v>
      </c>
      <c r="R463" t="str">
        <f t="shared" si="38"/>
        <v>Missing Delivery Date</v>
      </c>
      <c r="S463" t="str">
        <f t="shared" si="39"/>
        <v>Missing Delivery Date</v>
      </c>
    </row>
    <row r="464" spans="1:19" x14ac:dyDescent="0.25">
      <c r="A464" t="s">
        <v>489</v>
      </c>
      <c r="B464" t="s">
        <v>23</v>
      </c>
      <c r="C464" s="1">
        <v>44984</v>
      </c>
      <c r="D464" s="1">
        <v>44999</v>
      </c>
      <c r="E464" t="s">
        <v>21</v>
      </c>
      <c r="F464" t="s">
        <v>35</v>
      </c>
      <c r="G464">
        <v>1965</v>
      </c>
      <c r="H464" s="3">
        <v>36.6</v>
      </c>
      <c r="I464" s="3">
        <v>34.64</v>
      </c>
      <c r="J464">
        <v>195</v>
      </c>
      <c r="K464" t="s">
        <v>15</v>
      </c>
      <c r="L464">
        <f t="shared" si="35"/>
        <v>15</v>
      </c>
      <c r="M464" s="3">
        <f>Table1[[#This Row],[Quantity]]*Table1[[#This Row],[Negotiated_Price]]</f>
        <v>68067.600000000006</v>
      </c>
      <c r="N464" s="3">
        <f>Table1[[#This Row],[Quantity]]*Table1[[#This Row],[Unit_Price]]</f>
        <v>71919</v>
      </c>
      <c r="O464" s="3">
        <f>Table1[[#This Row],[ Original_Spend ]]-Table1[[#This Row],[ Total_Spend ]]</f>
        <v>3851.3999999999942</v>
      </c>
      <c r="P464" s="2">
        <f t="shared" si="36"/>
        <v>5.355191256830593E-2</v>
      </c>
      <c r="Q464" s="2">
        <f t="shared" si="37"/>
        <v>9.9236641221374045E-2</v>
      </c>
      <c r="R464" t="str">
        <f t="shared" si="38"/>
        <v>Pending</v>
      </c>
      <c r="S464" t="str">
        <f t="shared" si="39"/>
        <v>Status-Date Conflict</v>
      </c>
    </row>
    <row r="465" spans="1:19" x14ac:dyDescent="0.25">
      <c r="A465" t="s">
        <v>490</v>
      </c>
      <c r="B465" t="s">
        <v>12</v>
      </c>
      <c r="C465" s="1">
        <v>44587</v>
      </c>
      <c r="D465" s="1">
        <v>44595</v>
      </c>
      <c r="E465" t="s">
        <v>13</v>
      </c>
      <c r="F465" t="s">
        <v>35</v>
      </c>
      <c r="G465">
        <v>1818</v>
      </c>
      <c r="H465" s="3">
        <v>67.959999999999994</v>
      </c>
      <c r="I465" s="3">
        <v>58.98</v>
      </c>
      <c r="K465" t="s">
        <v>15</v>
      </c>
      <c r="L465">
        <f t="shared" si="35"/>
        <v>8</v>
      </c>
      <c r="M465" s="3">
        <f>Table1[[#This Row],[Quantity]]*Table1[[#This Row],[Negotiated_Price]]</f>
        <v>107225.64</v>
      </c>
      <c r="N465" s="3">
        <f>Table1[[#This Row],[Quantity]]*Table1[[#This Row],[Unit_Price]]</f>
        <v>123551.27999999998</v>
      </c>
      <c r="O465" s="3">
        <f>Table1[[#This Row],[ Original_Spend ]]-Table1[[#This Row],[ Total_Spend ]]</f>
        <v>16325.639999999985</v>
      </c>
      <c r="P465" s="2">
        <f t="shared" si="36"/>
        <v>0.13213655091230125</v>
      </c>
      <c r="Q465" s="2">
        <f t="shared" si="37"/>
        <v>0</v>
      </c>
      <c r="R465" t="str">
        <f t="shared" si="38"/>
        <v>Pending</v>
      </c>
      <c r="S465" t="str">
        <f t="shared" si="39"/>
        <v>Status-Date Conflict</v>
      </c>
    </row>
    <row r="466" spans="1:19" x14ac:dyDescent="0.25">
      <c r="A466" t="s">
        <v>491</v>
      </c>
      <c r="B466" t="s">
        <v>23</v>
      </c>
      <c r="C466" s="1">
        <v>44745</v>
      </c>
      <c r="D466" s="1">
        <v>44761</v>
      </c>
      <c r="E466" t="s">
        <v>21</v>
      </c>
      <c r="F466" t="s">
        <v>18</v>
      </c>
      <c r="G466">
        <v>1110</v>
      </c>
      <c r="H466" s="3">
        <v>48.19</v>
      </c>
      <c r="I466" s="3">
        <v>45.88</v>
      </c>
      <c r="J466">
        <v>112</v>
      </c>
      <c r="K466" t="s">
        <v>15</v>
      </c>
      <c r="L466">
        <f t="shared" si="35"/>
        <v>16</v>
      </c>
      <c r="M466" s="3">
        <f>Table1[[#This Row],[Quantity]]*Table1[[#This Row],[Negotiated_Price]]</f>
        <v>50926.8</v>
      </c>
      <c r="N466" s="3">
        <f>Table1[[#This Row],[Quantity]]*Table1[[#This Row],[Unit_Price]]</f>
        <v>53490.899999999994</v>
      </c>
      <c r="O466" s="3">
        <f>Table1[[#This Row],[ Original_Spend ]]-Table1[[#This Row],[ Total_Spend ]]</f>
        <v>2564.0999999999913</v>
      </c>
      <c r="P466" s="2">
        <f t="shared" si="36"/>
        <v>4.7935256277235785E-2</v>
      </c>
      <c r="Q466" s="2">
        <f t="shared" si="37"/>
        <v>0.1009009009009009</v>
      </c>
      <c r="R466" t="str">
        <f t="shared" si="38"/>
        <v>Late</v>
      </c>
      <c r="S466" t="str">
        <f t="shared" si="39"/>
        <v>OK</v>
      </c>
    </row>
    <row r="467" spans="1:19" x14ac:dyDescent="0.25">
      <c r="A467" t="s">
        <v>492</v>
      </c>
      <c r="B467" t="s">
        <v>17</v>
      </c>
      <c r="C467" s="1">
        <v>44902</v>
      </c>
      <c r="E467" t="s">
        <v>26</v>
      </c>
      <c r="F467" t="s">
        <v>18</v>
      </c>
      <c r="G467">
        <v>329</v>
      </c>
      <c r="H467" s="3">
        <v>12.96</v>
      </c>
      <c r="I467" s="3">
        <v>12.74</v>
      </c>
      <c r="J467">
        <v>48</v>
      </c>
      <c r="K467" t="s">
        <v>15</v>
      </c>
      <c r="L467" t="str">
        <f t="shared" si="35"/>
        <v/>
      </c>
      <c r="M467" s="3">
        <f>Table1[[#This Row],[Quantity]]*Table1[[#This Row],[Negotiated_Price]]</f>
        <v>4191.46</v>
      </c>
      <c r="N467" s="3">
        <f>Table1[[#This Row],[Quantity]]*Table1[[#This Row],[Unit_Price]]</f>
        <v>4263.84</v>
      </c>
      <c r="O467" s="3">
        <f>Table1[[#This Row],[ Original_Spend ]]-Table1[[#This Row],[ Total_Spend ]]</f>
        <v>72.380000000000109</v>
      </c>
      <c r="P467" s="2">
        <f t="shared" si="36"/>
        <v>1.6975308641975332E-2</v>
      </c>
      <c r="Q467" s="2">
        <f t="shared" si="37"/>
        <v>0.1458966565349544</v>
      </c>
      <c r="R467" t="str">
        <f t="shared" si="38"/>
        <v>Missing Delivery Date</v>
      </c>
      <c r="S467" t="str">
        <f t="shared" si="39"/>
        <v>Missing Delivery Date</v>
      </c>
    </row>
    <row r="468" spans="1:19" x14ac:dyDescent="0.25">
      <c r="A468" t="s">
        <v>493</v>
      </c>
      <c r="B468" t="s">
        <v>20</v>
      </c>
      <c r="C468" s="1">
        <v>44983</v>
      </c>
      <c r="D468" s="1">
        <v>45002</v>
      </c>
      <c r="E468" t="s">
        <v>13</v>
      </c>
      <c r="F468" t="s">
        <v>14</v>
      </c>
      <c r="G468">
        <v>1422</v>
      </c>
      <c r="H468" s="3">
        <v>25.62</v>
      </c>
      <c r="I468" s="3">
        <v>25.18</v>
      </c>
      <c r="J468">
        <v>65</v>
      </c>
      <c r="K468" t="s">
        <v>15</v>
      </c>
      <c r="L468">
        <f t="shared" si="35"/>
        <v>19</v>
      </c>
      <c r="M468" s="3">
        <f>Table1[[#This Row],[Quantity]]*Table1[[#This Row],[Negotiated_Price]]</f>
        <v>35805.96</v>
      </c>
      <c r="N468" s="3">
        <f>Table1[[#This Row],[Quantity]]*Table1[[#This Row],[Unit_Price]]</f>
        <v>36431.64</v>
      </c>
      <c r="O468" s="3">
        <f>Table1[[#This Row],[ Original_Spend ]]-Table1[[#This Row],[ Total_Spend ]]</f>
        <v>625.68000000000029</v>
      </c>
      <c r="P468" s="2">
        <f t="shared" si="36"/>
        <v>1.7174082747853248E-2</v>
      </c>
      <c r="Q468" s="2">
        <f t="shared" si="37"/>
        <v>4.5710267229254573E-2</v>
      </c>
      <c r="R468" t="str">
        <f t="shared" si="38"/>
        <v>Cancelled</v>
      </c>
      <c r="S468" t="str">
        <f t="shared" si="39"/>
        <v>Status-Date Conflict</v>
      </c>
    </row>
    <row r="469" spans="1:19" x14ac:dyDescent="0.25">
      <c r="A469" t="s">
        <v>494</v>
      </c>
      <c r="B469" t="s">
        <v>17</v>
      </c>
      <c r="C469" s="1">
        <v>45247</v>
      </c>
      <c r="E469" t="s">
        <v>26</v>
      </c>
      <c r="F469" t="s">
        <v>18</v>
      </c>
      <c r="G469">
        <v>546</v>
      </c>
      <c r="H469" s="3">
        <v>82.63</v>
      </c>
      <c r="I469" s="3">
        <v>74.77</v>
      </c>
      <c r="J469">
        <v>76</v>
      </c>
      <c r="K469" t="s">
        <v>27</v>
      </c>
      <c r="L469" t="str">
        <f t="shared" si="35"/>
        <v/>
      </c>
      <c r="M469" s="3">
        <f>Table1[[#This Row],[Quantity]]*Table1[[#This Row],[Negotiated_Price]]</f>
        <v>40824.42</v>
      </c>
      <c r="N469" s="3">
        <f>Table1[[#This Row],[Quantity]]*Table1[[#This Row],[Unit_Price]]</f>
        <v>45115.979999999996</v>
      </c>
      <c r="O469" s="3">
        <f>Table1[[#This Row],[ Original_Spend ]]-Table1[[#This Row],[ Total_Spend ]]</f>
        <v>4291.5599999999977</v>
      </c>
      <c r="P469" s="2">
        <f t="shared" si="36"/>
        <v>9.5122836742103312E-2</v>
      </c>
      <c r="Q469" s="2">
        <f t="shared" si="37"/>
        <v>0.1391941391941392</v>
      </c>
      <c r="R469" t="str">
        <f t="shared" si="38"/>
        <v>Missing Delivery Date</v>
      </c>
      <c r="S469" t="str">
        <f t="shared" si="39"/>
        <v>Missing Delivery Date</v>
      </c>
    </row>
    <row r="470" spans="1:19" x14ac:dyDescent="0.25">
      <c r="A470" t="s">
        <v>495</v>
      </c>
      <c r="B470" t="s">
        <v>20</v>
      </c>
      <c r="C470" s="1">
        <v>44816</v>
      </c>
      <c r="D470" s="1">
        <v>44826</v>
      </c>
      <c r="E470" t="s">
        <v>13</v>
      </c>
      <c r="F470" t="s">
        <v>33</v>
      </c>
      <c r="G470">
        <v>351</v>
      </c>
      <c r="H470" s="3">
        <v>72.08</v>
      </c>
      <c r="I470" s="3">
        <v>71.3</v>
      </c>
      <c r="J470">
        <v>20</v>
      </c>
      <c r="K470" t="s">
        <v>15</v>
      </c>
      <c r="L470">
        <f t="shared" si="35"/>
        <v>10</v>
      </c>
      <c r="M470" s="3">
        <f>Table1[[#This Row],[Quantity]]*Table1[[#This Row],[Negotiated_Price]]</f>
        <v>25026.3</v>
      </c>
      <c r="N470" s="3">
        <f>Table1[[#This Row],[Quantity]]*Table1[[#This Row],[Unit_Price]]</f>
        <v>25300.079999999998</v>
      </c>
      <c r="O470" s="3">
        <f>Table1[[#This Row],[ Original_Spend ]]-Table1[[#This Row],[ Total_Spend ]]</f>
        <v>273.77999999999884</v>
      </c>
      <c r="P470" s="2">
        <f t="shared" si="36"/>
        <v>1.0821309655937802E-2</v>
      </c>
      <c r="Q470" s="2">
        <f t="shared" si="37"/>
        <v>5.6980056980056981E-2</v>
      </c>
      <c r="R470" t="str">
        <f t="shared" si="38"/>
        <v>Partially Delivered</v>
      </c>
      <c r="S470" t="str">
        <f t="shared" si="39"/>
        <v>Status-Date Conflict</v>
      </c>
    </row>
    <row r="471" spans="1:19" x14ac:dyDescent="0.25">
      <c r="A471" t="s">
        <v>496</v>
      </c>
      <c r="B471" t="s">
        <v>17</v>
      </c>
      <c r="C471" s="1">
        <v>44835</v>
      </c>
      <c r="D471" s="1">
        <v>44852</v>
      </c>
      <c r="E471" t="s">
        <v>26</v>
      </c>
      <c r="F471" t="s">
        <v>33</v>
      </c>
      <c r="G471">
        <v>230</v>
      </c>
      <c r="H471" s="3">
        <v>13</v>
      </c>
      <c r="I471" s="3">
        <v>12.81</v>
      </c>
      <c r="K471" t="s">
        <v>27</v>
      </c>
      <c r="L471">
        <f t="shared" si="35"/>
        <v>17</v>
      </c>
      <c r="M471" s="3">
        <f>Table1[[#This Row],[Quantity]]*Table1[[#This Row],[Negotiated_Price]]</f>
        <v>2946.3</v>
      </c>
      <c r="N471" s="3">
        <f>Table1[[#This Row],[Quantity]]*Table1[[#This Row],[Unit_Price]]</f>
        <v>2990</v>
      </c>
      <c r="O471" s="3">
        <f>Table1[[#This Row],[ Original_Spend ]]-Table1[[#This Row],[ Total_Spend ]]</f>
        <v>43.699999999999818</v>
      </c>
      <c r="P471" s="2">
        <f t="shared" si="36"/>
        <v>1.4615384615384554E-2</v>
      </c>
      <c r="Q471" s="2">
        <f t="shared" si="37"/>
        <v>0</v>
      </c>
      <c r="R471" t="str">
        <f t="shared" si="38"/>
        <v>Partially Delivered</v>
      </c>
      <c r="S471" t="str">
        <f t="shared" si="39"/>
        <v>Status-Date Conflict</v>
      </c>
    </row>
    <row r="472" spans="1:19" x14ac:dyDescent="0.25">
      <c r="A472" t="s">
        <v>497</v>
      </c>
      <c r="B472" t="s">
        <v>12</v>
      </c>
      <c r="C472" s="1">
        <v>44725</v>
      </c>
      <c r="D472" s="1">
        <v>44731</v>
      </c>
      <c r="E472" t="s">
        <v>21</v>
      </c>
      <c r="F472" t="s">
        <v>18</v>
      </c>
      <c r="G472">
        <v>656</v>
      </c>
      <c r="H472" s="3">
        <v>30.73</v>
      </c>
      <c r="I472" s="3">
        <v>26.26</v>
      </c>
      <c r="J472">
        <v>17</v>
      </c>
      <c r="K472" t="s">
        <v>15</v>
      </c>
      <c r="L472">
        <f t="shared" si="35"/>
        <v>6</v>
      </c>
      <c r="M472" s="3">
        <f>Table1[[#This Row],[Quantity]]*Table1[[#This Row],[Negotiated_Price]]</f>
        <v>17226.560000000001</v>
      </c>
      <c r="N472" s="3">
        <f>Table1[[#This Row],[Quantity]]*Table1[[#This Row],[Unit_Price]]</f>
        <v>20158.88</v>
      </c>
      <c r="O472" s="3">
        <f>Table1[[#This Row],[ Original_Spend ]]-Table1[[#This Row],[ Total_Spend ]]</f>
        <v>2932.3199999999997</v>
      </c>
      <c r="P472" s="2">
        <f t="shared" si="36"/>
        <v>0.14546046208916366</v>
      </c>
      <c r="Q472" s="2">
        <f t="shared" si="37"/>
        <v>2.5914634146341462E-2</v>
      </c>
      <c r="R472" t="str">
        <f t="shared" si="38"/>
        <v>On Time</v>
      </c>
      <c r="S472" t="str">
        <f t="shared" si="39"/>
        <v>OK</v>
      </c>
    </row>
    <row r="473" spans="1:19" x14ac:dyDescent="0.25">
      <c r="A473" t="s">
        <v>498</v>
      </c>
      <c r="B473" t="s">
        <v>20</v>
      </c>
      <c r="C473" s="1">
        <v>45280</v>
      </c>
      <c r="D473" s="1">
        <v>45300</v>
      </c>
      <c r="E473" t="s">
        <v>21</v>
      </c>
      <c r="F473" t="s">
        <v>18</v>
      </c>
      <c r="G473">
        <v>1172</v>
      </c>
      <c r="H473" s="3">
        <v>34.340000000000003</v>
      </c>
      <c r="I473" s="3">
        <v>32.090000000000003</v>
      </c>
      <c r="J473">
        <v>69</v>
      </c>
      <c r="K473" t="s">
        <v>15</v>
      </c>
      <c r="L473">
        <f t="shared" si="35"/>
        <v>20</v>
      </c>
      <c r="M473" s="3">
        <f>Table1[[#This Row],[Quantity]]*Table1[[#This Row],[Negotiated_Price]]</f>
        <v>37609.480000000003</v>
      </c>
      <c r="N473" s="3">
        <f>Table1[[#This Row],[Quantity]]*Table1[[#This Row],[Unit_Price]]</f>
        <v>40246.480000000003</v>
      </c>
      <c r="O473" s="3">
        <f>Table1[[#This Row],[ Original_Spend ]]-Table1[[#This Row],[ Total_Spend ]]</f>
        <v>2637</v>
      </c>
      <c r="P473" s="2">
        <f t="shared" si="36"/>
        <v>6.5521258008153754E-2</v>
      </c>
      <c r="Q473" s="2">
        <f t="shared" si="37"/>
        <v>5.8873720136518773E-2</v>
      </c>
      <c r="R473" t="str">
        <f t="shared" si="38"/>
        <v>Late</v>
      </c>
      <c r="S473" t="str">
        <f t="shared" si="39"/>
        <v>OK</v>
      </c>
    </row>
    <row r="474" spans="1:19" x14ac:dyDescent="0.25">
      <c r="A474" t="s">
        <v>499</v>
      </c>
      <c r="B474" t="s">
        <v>20</v>
      </c>
      <c r="C474" s="1">
        <v>44672</v>
      </c>
      <c r="D474" s="1">
        <v>44681</v>
      </c>
      <c r="E474" t="s">
        <v>39</v>
      </c>
      <c r="F474" t="s">
        <v>18</v>
      </c>
      <c r="G474">
        <v>749</v>
      </c>
      <c r="H474" s="3">
        <v>71.53</v>
      </c>
      <c r="I474" s="3">
        <v>70.02</v>
      </c>
      <c r="J474">
        <v>41</v>
      </c>
      <c r="K474" t="s">
        <v>15</v>
      </c>
      <c r="L474">
        <f t="shared" si="35"/>
        <v>9</v>
      </c>
      <c r="M474" s="3">
        <f>Table1[[#This Row],[Quantity]]*Table1[[#This Row],[Negotiated_Price]]</f>
        <v>52444.979999999996</v>
      </c>
      <c r="N474" s="3">
        <f>Table1[[#This Row],[Quantity]]*Table1[[#This Row],[Unit_Price]]</f>
        <v>53575.97</v>
      </c>
      <c r="O474" s="3">
        <f>Table1[[#This Row],[ Original_Spend ]]-Table1[[#This Row],[ Total_Spend ]]</f>
        <v>1130.9900000000052</v>
      </c>
      <c r="P474" s="2">
        <f t="shared" si="36"/>
        <v>2.1110023766252019E-2</v>
      </c>
      <c r="Q474" s="2">
        <f t="shared" si="37"/>
        <v>5.4739652870493989E-2</v>
      </c>
      <c r="R474" t="str">
        <f t="shared" si="38"/>
        <v>On Time</v>
      </c>
      <c r="S474" t="str">
        <f t="shared" si="39"/>
        <v>OK</v>
      </c>
    </row>
    <row r="475" spans="1:19" x14ac:dyDescent="0.25">
      <c r="A475" t="s">
        <v>500</v>
      </c>
      <c r="B475" t="s">
        <v>23</v>
      </c>
      <c r="C475" s="1">
        <v>44953</v>
      </c>
      <c r="D475" s="1">
        <v>44969</v>
      </c>
      <c r="E475" t="s">
        <v>24</v>
      </c>
      <c r="F475" t="s">
        <v>18</v>
      </c>
      <c r="G475">
        <v>1042</v>
      </c>
      <c r="H475" s="3">
        <v>12.48</v>
      </c>
      <c r="I475" s="3">
        <v>12.3</v>
      </c>
      <c r="J475">
        <v>88</v>
      </c>
      <c r="K475" t="s">
        <v>15</v>
      </c>
      <c r="L475">
        <f t="shared" si="35"/>
        <v>16</v>
      </c>
      <c r="M475" s="3">
        <f>Table1[[#This Row],[Quantity]]*Table1[[#This Row],[Negotiated_Price]]</f>
        <v>12816.6</v>
      </c>
      <c r="N475" s="3">
        <f>Table1[[#This Row],[Quantity]]*Table1[[#This Row],[Unit_Price]]</f>
        <v>13004.16</v>
      </c>
      <c r="O475" s="3">
        <f>Table1[[#This Row],[ Original_Spend ]]-Table1[[#This Row],[ Total_Spend ]]</f>
        <v>187.55999999999949</v>
      </c>
      <c r="P475" s="2">
        <f t="shared" si="36"/>
        <v>1.4423076923076884E-2</v>
      </c>
      <c r="Q475" s="2">
        <f t="shared" si="37"/>
        <v>8.4452975047984644E-2</v>
      </c>
      <c r="R475" t="str">
        <f t="shared" si="38"/>
        <v>Late</v>
      </c>
      <c r="S475" t="str">
        <f t="shared" si="39"/>
        <v>OK</v>
      </c>
    </row>
    <row r="476" spans="1:19" x14ac:dyDescent="0.25">
      <c r="A476" t="s">
        <v>501</v>
      </c>
      <c r="B476" t="s">
        <v>17</v>
      </c>
      <c r="C476" s="1">
        <v>44601</v>
      </c>
      <c r="D476" s="1">
        <v>44619</v>
      </c>
      <c r="E476" t="s">
        <v>26</v>
      </c>
      <c r="F476" t="s">
        <v>18</v>
      </c>
      <c r="G476">
        <v>1189</v>
      </c>
      <c r="H476" s="3">
        <v>19.47</v>
      </c>
      <c r="I476" s="3">
        <v>17.149999999999999</v>
      </c>
      <c r="K476" t="s">
        <v>27</v>
      </c>
      <c r="L476">
        <f t="shared" si="35"/>
        <v>18</v>
      </c>
      <c r="M476" s="3">
        <f>Table1[[#This Row],[Quantity]]*Table1[[#This Row],[Negotiated_Price]]</f>
        <v>20391.349999999999</v>
      </c>
      <c r="N476" s="3">
        <f>Table1[[#This Row],[Quantity]]*Table1[[#This Row],[Unit_Price]]</f>
        <v>23149.829999999998</v>
      </c>
      <c r="O476" s="3">
        <f>Table1[[#This Row],[ Original_Spend ]]-Table1[[#This Row],[ Total_Spend ]]</f>
        <v>2758.4799999999996</v>
      </c>
      <c r="P476" s="2">
        <f t="shared" si="36"/>
        <v>0.11915767847971237</v>
      </c>
      <c r="Q476" s="2">
        <f t="shared" si="37"/>
        <v>0</v>
      </c>
      <c r="R476" t="str">
        <f t="shared" si="38"/>
        <v>Late</v>
      </c>
      <c r="S476" t="str">
        <f t="shared" si="39"/>
        <v>OK</v>
      </c>
    </row>
    <row r="477" spans="1:19" x14ac:dyDescent="0.25">
      <c r="A477" t="s">
        <v>502</v>
      </c>
      <c r="B477" t="s">
        <v>29</v>
      </c>
      <c r="C477" s="1">
        <v>45043</v>
      </c>
      <c r="E477" t="s">
        <v>13</v>
      </c>
      <c r="F477" t="s">
        <v>18</v>
      </c>
      <c r="G477">
        <v>240</v>
      </c>
      <c r="H477" s="3">
        <v>88.14</v>
      </c>
      <c r="I477" s="3">
        <v>81.900000000000006</v>
      </c>
      <c r="J477">
        <v>4</v>
      </c>
      <c r="K477" t="s">
        <v>15</v>
      </c>
      <c r="L477" t="str">
        <f t="shared" si="35"/>
        <v/>
      </c>
      <c r="M477" s="3">
        <f>Table1[[#This Row],[Quantity]]*Table1[[#This Row],[Negotiated_Price]]</f>
        <v>19656</v>
      </c>
      <c r="N477" s="3">
        <f>Table1[[#This Row],[Quantity]]*Table1[[#This Row],[Unit_Price]]</f>
        <v>21153.599999999999</v>
      </c>
      <c r="O477" s="3">
        <f>Table1[[#This Row],[ Original_Spend ]]-Table1[[#This Row],[ Total_Spend ]]</f>
        <v>1497.5999999999985</v>
      </c>
      <c r="P477" s="2">
        <f t="shared" si="36"/>
        <v>7.079646017699108E-2</v>
      </c>
      <c r="Q477" s="2">
        <f t="shared" si="37"/>
        <v>1.6666666666666666E-2</v>
      </c>
      <c r="R477" t="str">
        <f t="shared" si="38"/>
        <v>Missing Delivery Date</v>
      </c>
      <c r="S477" t="str">
        <f t="shared" si="39"/>
        <v>Missing Delivery Date</v>
      </c>
    </row>
    <row r="478" spans="1:19" x14ac:dyDescent="0.25">
      <c r="A478" t="s">
        <v>503</v>
      </c>
      <c r="B478" t="s">
        <v>29</v>
      </c>
      <c r="C478" s="1">
        <v>44789</v>
      </c>
      <c r="D478" s="1">
        <v>44806</v>
      </c>
      <c r="E478" t="s">
        <v>21</v>
      </c>
      <c r="F478" t="s">
        <v>18</v>
      </c>
      <c r="G478">
        <v>302</v>
      </c>
      <c r="H478" s="3">
        <v>26.98</v>
      </c>
      <c r="I478" s="3">
        <v>26.47</v>
      </c>
      <c r="J478">
        <v>9</v>
      </c>
      <c r="K478" t="s">
        <v>15</v>
      </c>
      <c r="L478">
        <f t="shared" si="35"/>
        <v>17</v>
      </c>
      <c r="M478" s="3">
        <f>Table1[[#This Row],[Quantity]]*Table1[[#This Row],[Negotiated_Price]]</f>
        <v>7993.94</v>
      </c>
      <c r="N478" s="3">
        <f>Table1[[#This Row],[Quantity]]*Table1[[#This Row],[Unit_Price]]</f>
        <v>8147.96</v>
      </c>
      <c r="O478" s="3">
        <f>Table1[[#This Row],[ Original_Spend ]]-Table1[[#This Row],[ Total_Spend ]]</f>
        <v>154.02000000000044</v>
      </c>
      <c r="P478" s="2">
        <f t="shared" si="36"/>
        <v>1.8902891030392936E-2</v>
      </c>
      <c r="Q478" s="2">
        <f t="shared" si="37"/>
        <v>2.9801324503311258E-2</v>
      </c>
      <c r="R478" t="str">
        <f t="shared" si="38"/>
        <v>Late</v>
      </c>
      <c r="S478" t="str">
        <f t="shared" si="39"/>
        <v>OK</v>
      </c>
    </row>
    <row r="479" spans="1:19" x14ac:dyDescent="0.25">
      <c r="A479" t="s">
        <v>504</v>
      </c>
      <c r="B479" t="s">
        <v>23</v>
      </c>
      <c r="C479" s="1">
        <v>44766</v>
      </c>
      <c r="D479" s="1">
        <v>44776</v>
      </c>
      <c r="E479" t="s">
        <v>21</v>
      </c>
      <c r="F479" t="s">
        <v>35</v>
      </c>
      <c r="G479">
        <v>1030</v>
      </c>
      <c r="H479" s="3">
        <v>70.81</v>
      </c>
      <c r="I479" s="3">
        <v>61.58</v>
      </c>
      <c r="K479" t="s">
        <v>27</v>
      </c>
      <c r="L479">
        <f t="shared" si="35"/>
        <v>10</v>
      </c>
      <c r="M479" s="3">
        <f>Table1[[#This Row],[Quantity]]*Table1[[#This Row],[Negotiated_Price]]</f>
        <v>63427.4</v>
      </c>
      <c r="N479" s="3">
        <f>Table1[[#This Row],[Quantity]]*Table1[[#This Row],[Unit_Price]]</f>
        <v>72934.3</v>
      </c>
      <c r="O479" s="3">
        <f>Table1[[#This Row],[ Original_Spend ]]-Table1[[#This Row],[ Total_Spend ]]</f>
        <v>9506.9000000000015</v>
      </c>
      <c r="P479" s="2">
        <f t="shared" si="36"/>
        <v>0.13034882078802432</v>
      </c>
      <c r="Q479" s="2">
        <f t="shared" si="37"/>
        <v>0</v>
      </c>
      <c r="R479" t="str">
        <f t="shared" si="38"/>
        <v>Pending</v>
      </c>
      <c r="S479" t="str">
        <f t="shared" si="39"/>
        <v>Status-Date Conflict</v>
      </c>
    </row>
    <row r="480" spans="1:19" x14ac:dyDescent="0.25">
      <c r="A480" t="s">
        <v>505</v>
      </c>
      <c r="B480" t="s">
        <v>17</v>
      </c>
      <c r="C480" s="1">
        <v>45033</v>
      </c>
      <c r="D480" s="1">
        <v>45039</v>
      </c>
      <c r="E480" t="s">
        <v>13</v>
      </c>
      <c r="F480" t="s">
        <v>18</v>
      </c>
      <c r="G480">
        <v>977</v>
      </c>
      <c r="H480" s="3">
        <v>33.79</v>
      </c>
      <c r="I480" s="3">
        <v>32.25</v>
      </c>
      <c r="J480">
        <v>137</v>
      </c>
      <c r="K480" t="s">
        <v>15</v>
      </c>
      <c r="L480">
        <f t="shared" si="35"/>
        <v>6</v>
      </c>
      <c r="M480" s="3">
        <f>Table1[[#This Row],[Quantity]]*Table1[[#This Row],[Negotiated_Price]]</f>
        <v>31508.25</v>
      </c>
      <c r="N480" s="3">
        <f>Table1[[#This Row],[Quantity]]*Table1[[#This Row],[Unit_Price]]</f>
        <v>33012.83</v>
      </c>
      <c r="O480" s="3">
        <f>Table1[[#This Row],[ Original_Spend ]]-Table1[[#This Row],[ Total_Spend ]]</f>
        <v>1504.5800000000017</v>
      </c>
      <c r="P480" s="2">
        <f t="shared" si="36"/>
        <v>4.557561408700804E-2</v>
      </c>
      <c r="Q480" s="2">
        <f t="shared" si="37"/>
        <v>0.14022517911975435</v>
      </c>
      <c r="R480" t="str">
        <f t="shared" si="38"/>
        <v>On Time</v>
      </c>
      <c r="S480" t="str">
        <f t="shared" si="39"/>
        <v>OK</v>
      </c>
    </row>
    <row r="481" spans="1:19" x14ac:dyDescent="0.25">
      <c r="A481" t="s">
        <v>506</v>
      </c>
      <c r="B481" t="s">
        <v>12</v>
      </c>
      <c r="C481" s="1">
        <v>44920</v>
      </c>
      <c r="D481" s="1">
        <v>44937</v>
      </c>
      <c r="E481" t="s">
        <v>24</v>
      </c>
      <c r="F481" t="s">
        <v>18</v>
      </c>
      <c r="G481">
        <v>1234</v>
      </c>
      <c r="H481" s="3">
        <v>19.989999999999998</v>
      </c>
      <c r="I481" s="3">
        <v>17.66</v>
      </c>
      <c r="J481">
        <v>25</v>
      </c>
      <c r="K481" t="s">
        <v>15</v>
      </c>
      <c r="L481">
        <f t="shared" si="35"/>
        <v>17</v>
      </c>
      <c r="M481" s="3">
        <f>Table1[[#This Row],[Quantity]]*Table1[[#This Row],[Negotiated_Price]]</f>
        <v>21792.44</v>
      </c>
      <c r="N481" s="3">
        <f>Table1[[#This Row],[Quantity]]*Table1[[#This Row],[Unit_Price]]</f>
        <v>24667.66</v>
      </c>
      <c r="O481" s="3">
        <f>Table1[[#This Row],[ Original_Spend ]]-Table1[[#This Row],[ Total_Spend ]]</f>
        <v>2875.2200000000012</v>
      </c>
      <c r="P481" s="2">
        <f t="shared" si="36"/>
        <v>0.11655827913956983</v>
      </c>
      <c r="Q481" s="2">
        <f t="shared" si="37"/>
        <v>2.0259319286871962E-2</v>
      </c>
      <c r="R481" t="str">
        <f t="shared" si="38"/>
        <v>Late</v>
      </c>
      <c r="S481" t="str">
        <f t="shared" si="39"/>
        <v>OK</v>
      </c>
    </row>
    <row r="482" spans="1:19" x14ac:dyDescent="0.25">
      <c r="A482" t="s">
        <v>507</v>
      </c>
      <c r="B482" t="s">
        <v>23</v>
      </c>
      <c r="C482" s="1">
        <v>44874</v>
      </c>
      <c r="D482" s="1">
        <v>44888</v>
      </c>
      <c r="E482" t="s">
        <v>13</v>
      </c>
      <c r="F482" t="s">
        <v>18</v>
      </c>
      <c r="G482">
        <v>1329</v>
      </c>
      <c r="H482" s="3">
        <v>33.479999999999997</v>
      </c>
      <c r="I482" s="3">
        <v>33.06</v>
      </c>
      <c r="J482">
        <v>146</v>
      </c>
      <c r="K482" t="s">
        <v>15</v>
      </c>
      <c r="L482">
        <f t="shared" si="35"/>
        <v>14</v>
      </c>
      <c r="M482" s="3">
        <f>Table1[[#This Row],[Quantity]]*Table1[[#This Row],[Negotiated_Price]]</f>
        <v>43936.740000000005</v>
      </c>
      <c r="N482" s="3">
        <f>Table1[[#This Row],[Quantity]]*Table1[[#This Row],[Unit_Price]]</f>
        <v>44494.92</v>
      </c>
      <c r="O482" s="3">
        <f>Table1[[#This Row],[ Original_Spend ]]-Table1[[#This Row],[ Total_Spend ]]</f>
        <v>558.17999999999302</v>
      </c>
      <c r="P482" s="2">
        <f t="shared" si="36"/>
        <v>1.2544802867383357E-2</v>
      </c>
      <c r="Q482" s="2">
        <f t="shared" si="37"/>
        <v>0.10985703536493605</v>
      </c>
      <c r="R482" t="str">
        <f t="shared" si="38"/>
        <v>Late</v>
      </c>
      <c r="S482" t="str">
        <f t="shared" si="39"/>
        <v>OK</v>
      </c>
    </row>
    <row r="483" spans="1:19" x14ac:dyDescent="0.25">
      <c r="A483" t="s">
        <v>508</v>
      </c>
      <c r="B483" t="s">
        <v>20</v>
      </c>
      <c r="C483" s="1">
        <v>44795</v>
      </c>
      <c r="D483" s="1">
        <v>44803</v>
      </c>
      <c r="E483" t="s">
        <v>26</v>
      </c>
      <c r="F483" t="s">
        <v>18</v>
      </c>
      <c r="G483">
        <v>1396</v>
      </c>
      <c r="H483" s="3">
        <v>77.63</v>
      </c>
      <c r="I483" s="3">
        <v>67.81</v>
      </c>
      <c r="J483">
        <v>58</v>
      </c>
      <c r="K483" t="s">
        <v>15</v>
      </c>
      <c r="L483">
        <f t="shared" si="35"/>
        <v>8</v>
      </c>
      <c r="M483" s="3">
        <f>Table1[[#This Row],[Quantity]]*Table1[[#This Row],[Negotiated_Price]]</f>
        <v>94662.760000000009</v>
      </c>
      <c r="N483" s="3">
        <f>Table1[[#This Row],[Quantity]]*Table1[[#This Row],[Unit_Price]]</f>
        <v>108371.48</v>
      </c>
      <c r="O483" s="3">
        <f>Table1[[#This Row],[ Original_Spend ]]-Table1[[#This Row],[ Total_Spend ]]</f>
        <v>13708.719999999987</v>
      </c>
      <c r="P483" s="2">
        <f t="shared" si="36"/>
        <v>0.12649748808450328</v>
      </c>
      <c r="Q483" s="2">
        <f t="shared" si="37"/>
        <v>4.1547277936962751E-2</v>
      </c>
      <c r="R483" t="str">
        <f t="shared" si="38"/>
        <v>On Time</v>
      </c>
      <c r="S483" t="str">
        <f t="shared" si="39"/>
        <v>OK</v>
      </c>
    </row>
    <row r="484" spans="1:19" x14ac:dyDescent="0.25">
      <c r="A484" t="s">
        <v>509</v>
      </c>
      <c r="B484" t="s">
        <v>12</v>
      </c>
      <c r="C484" s="1">
        <v>44790</v>
      </c>
      <c r="D484" s="1">
        <v>44802</v>
      </c>
      <c r="E484" t="s">
        <v>26</v>
      </c>
      <c r="F484" t="s">
        <v>18</v>
      </c>
      <c r="G484">
        <v>177</v>
      </c>
      <c r="H484" s="3">
        <v>90.06</v>
      </c>
      <c r="I484" s="3">
        <v>87.71</v>
      </c>
      <c r="J484">
        <v>7</v>
      </c>
      <c r="K484" t="s">
        <v>15</v>
      </c>
      <c r="L484">
        <f t="shared" si="35"/>
        <v>12</v>
      </c>
      <c r="M484" s="3">
        <f>Table1[[#This Row],[Quantity]]*Table1[[#This Row],[Negotiated_Price]]</f>
        <v>15524.669999999998</v>
      </c>
      <c r="N484" s="3">
        <f>Table1[[#This Row],[Quantity]]*Table1[[#This Row],[Unit_Price]]</f>
        <v>15940.62</v>
      </c>
      <c r="O484" s="3">
        <f>Table1[[#This Row],[ Original_Spend ]]-Table1[[#This Row],[ Total_Spend ]]</f>
        <v>415.95000000000255</v>
      </c>
      <c r="P484" s="2">
        <f t="shared" si="36"/>
        <v>2.6093715300910661E-2</v>
      </c>
      <c r="Q484" s="2">
        <f t="shared" si="37"/>
        <v>3.954802259887006E-2</v>
      </c>
      <c r="R484" t="str">
        <f t="shared" si="38"/>
        <v>Late</v>
      </c>
      <c r="S484" t="str">
        <f t="shared" si="39"/>
        <v>OK</v>
      </c>
    </row>
    <row r="485" spans="1:19" x14ac:dyDescent="0.25">
      <c r="A485" t="s">
        <v>510</v>
      </c>
      <c r="B485" t="s">
        <v>17</v>
      </c>
      <c r="C485" s="1">
        <v>44586</v>
      </c>
      <c r="E485" t="s">
        <v>39</v>
      </c>
      <c r="F485" t="s">
        <v>18</v>
      </c>
      <c r="G485">
        <v>67</v>
      </c>
      <c r="H485" s="3">
        <v>84.72</v>
      </c>
      <c r="I485" s="3">
        <v>73.06</v>
      </c>
      <c r="J485">
        <v>9</v>
      </c>
      <c r="K485" t="s">
        <v>15</v>
      </c>
      <c r="L485" t="str">
        <f t="shared" si="35"/>
        <v/>
      </c>
      <c r="M485" s="3">
        <f>Table1[[#This Row],[Quantity]]*Table1[[#This Row],[Negotiated_Price]]</f>
        <v>4895.0200000000004</v>
      </c>
      <c r="N485" s="3">
        <f>Table1[[#This Row],[Quantity]]*Table1[[#This Row],[Unit_Price]]</f>
        <v>5676.24</v>
      </c>
      <c r="O485" s="3">
        <f>Table1[[#This Row],[ Original_Spend ]]-Table1[[#This Row],[ Total_Spend ]]</f>
        <v>781.21999999999935</v>
      </c>
      <c r="P485" s="2">
        <f t="shared" si="36"/>
        <v>0.13762983947119914</v>
      </c>
      <c r="Q485" s="2">
        <f t="shared" si="37"/>
        <v>0.13432835820895522</v>
      </c>
      <c r="R485" t="str">
        <f t="shared" si="38"/>
        <v>Missing Delivery Date</v>
      </c>
      <c r="S485" t="str">
        <f t="shared" si="39"/>
        <v>Missing Delivery Date</v>
      </c>
    </row>
    <row r="486" spans="1:19" x14ac:dyDescent="0.25">
      <c r="A486" t="s">
        <v>511</v>
      </c>
      <c r="B486" t="s">
        <v>20</v>
      </c>
      <c r="C486" s="1">
        <v>45237</v>
      </c>
      <c r="D486" s="1">
        <v>45250</v>
      </c>
      <c r="E486" t="s">
        <v>13</v>
      </c>
      <c r="F486" t="s">
        <v>18</v>
      </c>
      <c r="G486">
        <v>1866</v>
      </c>
      <c r="H486" s="3">
        <v>50.78</v>
      </c>
      <c r="I486" s="3">
        <v>48.2</v>
      </c>
      <c r="J486">
        <v>96</v>
      </c>
      <c r="K486" t="s">
        <v>15</v>
      </c>
      <c r="L486">
        <f t="shared" si="35"/>
        <v>13</v>
      </c>
      <c r="M486" s="3">
        <f>Table1[[#This Row],[Quantity]]*Table1[[#This Row],[Negotiated_Price]]</f>
        <v>89941.200000000012</v>
      </c>
      <c r="N486" s="3">
        <f>Table1[[#This Row],[Quantity]]*Table1[[#This Row],[Unit_Price]]</f>
        <v>94755.48</v>
      </c>
      <c r="O486" s="3">
        <f>Table1[[#This Row],[ Original_Spend ]]-Table1[[#This Row],[ Total_Spend ]]</f>
        <v>4814.2799999999843</v>
      </c>
      <c r="P486" s="2">
        <f t="shared" si="36"/>
        <v>5.0807404489956513E-2</v>
      </c>
      <c r="Q486" s="2">
        <f t="shared" si="37"/>
        <v>5.1446945337620578E-2</v>
      </c>
      <c r="R486" t="str">
        <f t="shared" si="38"/>
        <v>Late</v>
      </c>
      <c r="S486" t="str">
        <f t="shared" si="39"/>
        <v>OK</v>
      </c>
    </row>
    <row r="487" spans="1:19" x14ac:dyDescent="0.25">
      <c r="A487" t="s">
        <v>512</v>
      </c>
      <c r="B487" t="s">
        <v>29</v>
      </c>
      <c r="C487" s="1">
        <v>44759</v>
      </c>
      <c r="D487" s="1">
        <v>44767</v>
      </c>
      <c r="E487" t="s">
        <v>21</v>
      </c>
      <c r="F487" t="s">
        <v>18</v>
      </c>
      <c r="G487">
        <v>1808</v>
      </c>
      <c r="H487" s="3">
        <v>72.23</v>
      </c>
      <c r="I487" s="3">
        <v>67.86</v>
      </c>
      <c r="J487">
        <v>53</v>
      </c>
      <c r="K487" t="s">
        <v>15</v>
      </c>
      <c r="L487">
        <f t="shared" si="35"/>
        <v>8</v>
      </c>
      <c r="M487" s="3">
        <f>Table1[[#This Row],[Quantity]]*Table1[[#This Row],[Negotiated_Price]]</f>
        <v>122690.88</v>
      </c>
      <c r="N487" s="3">
        <f>Table1[[#This Row],[Quantity]]*Table1[[#This Row],[Unit_Price]]</f>
        <v>130591.84000000001</v>
      </c>
      <c r="O487" s="3">
        <f>Table1[[#This Row],[ Original_Spend ]]-Table1[[#This Row],[ Total_Spend ]]</f>
        <v>7900.9600000000064</v>
      </c>
      <c r="P487" s="2">
        <f t="shared" si="36"/>
        <v>6.0501176796345056E-2</v>
      </c>
      <c r="Q487" s="2">
        <f t="shared" si="37"/>
        <v>2.9314159292035399E-2</v>
      </c>
      <c r="R487" t="str">
        <f t="shared" si="38"/>
        <v>On Time</v>
      </c>
      <c r="S487" t="str">
        <f t="shared" si="39"/>
        <v>OK</v>
      </c>
    </row>
    <row r="488" spans="1:19" x14ac:dyDescent="0.25">
      <c r="A488" t="s">
        <v>513</v>
      </c>
      <c r="B488" t="s">
        <v>17</v>
      </c>
      <c r="C488" s="1">
        <v>44970</v>
      </c>
      <c r="D488" s="1">
        <v>44973</v>
      </c>
      <c r="E488" t="s">
        <v>39</v>
      </c>
      <c r="F488" t="s">
        <v>14</v>
      </c>
      <c r="G488">
        <v>615</v>
      </c>
      <c r="H488" s="3">
        <v>30.3</v>
      </c>
      <c r="I488" s="3">
        <v>29.52</v>
      </c>
      <c r="J488">
        <v>96</v>
      </c>
      <c r="K488" t="s">
        <v>15</v>
      </c>
      <c r="L488">
        <f t="shared" si="35"/>
        <v>3</v>
      </c>
      <c r="M488" s="3">
        <f>Table1[[#This Row],[Quantity]]*Table1[[#This Row],[Negotiated_Price]]</f>
        <v>18154.8</v>
      </c>
      <c r="N488" s="3">
        <f>Table1[[#This Row],[Quantity]]*Table1[[#This Row],[Unit_Price]]</f>
        <v>18634.5</v>
      </c>
      <c r="O488" s="3">
        <f>Table1[[#This Row],[ Original_Spend ]]-Table1[[#This Row],[ Total_Spend ]]</f>
        <v>479.70000000000073</v>
      </c>
      <c r="P488" s="2">
        <f t="shared" si="36"/>
        <v>2.5742574257425783E-2</v>
      </c>
      <c r="Q488" s="2">
        <f t="shared" si="37"/>
        <v>0.15609756097560976</v>
      </c>
      <c r="R488" t="str">
        <f t="shared" si="38"/>
        <v>Cancelled</v>
      </c>
      <c r="S488" t="str">
        <f t="shared" si="39"/>
        <v>Status-Date Conflict</v>
      </c>
    </row>
    <row r="489" spans="1:19" x14ac:dyDescent="0.25">
      <c r="A489" t="s">
        <v>514</v>
      </c>
      <c r="B489" t="s">
        <v>20</v>
      </c>
      <c r="C489" s="1">
        <v>44898</v>
      </c>
      <c r="D489" s="1">
        <v>44899</v>
      </c>
      <c r="E489" t="s">
        <v>13</v>
      </c>
      <c r="F489" t="s">
        <v>35</v>
      </c>
      <c r="G489">
        <v>619</v>
      </c>
      <c r="H489" s="3">
        <v>38.380000000000003</v>
      </c>
      <c r="I489" s="3">
        <v>35.020000000000003</v>
      </c>
      <c r="J489">
        <v>34</v>
      </c>
      <c r="K489" t="s">
        <v>15</v>
      </c>
      <c r="L489">
        <f t="shared" si="35"/>
        <v>1</v>
      </c>
      <c r="M489" s="3">
        <f>Table1[[#This Row],[Quantity]]*Table1[[#This Row],[Negotiated_Price]]</f>
        <v>21677.38</v>
      </c>
      <c r="N489" s="3">
        <f>Table1[[#This Row],[Quantity]]*Table1[[#This Row],[Unit_Price]]</f>
        <v>23757.22</v>
      </c>
      <c r="O489" s="3">
        <f>Table1[[#This Row],[ Original_Spend ]]-Table1[[#This Row],[ Total_Spend ]]</f>
        <v>2079.84</v>
      </c>
      <c r="P489" s="2">
        <f t="shared" si="36"/>
        <v>8.7545596664929656E-2</v>
      </c>
      <c r="Q489" s="2">
        <f t="shared" si="37"/>
        <v>5.492730210016155E-2</v>
      </c>
      <c r="R489" t="str">
        <f t="shared" si="38"/>
        <v>Pending</v>
      </c>
      <c r="S489" t="str">
        <f t="shared" si="39"/>
        <v>Status-Date Conflict</v>
      </c>
    </row>
    <row r="490" spans="1:19" x14ac:dyDescent="0.25">
      <c r="A490" t="s">
        <v>515</v>
      </c>
      <c r="B490" t="s">
        <v>17</v>
      </c>
      <c r="C490" s="1">
        <v>44847</v>
      </c>
      <c r="D490" s="1">
        <v>44851</v>
      </c>
      <c r="E490" t="s">
        <v>13</v>
      </c>
      <c r="F490" t="s">
        <v>18</v>
      </c>
      <c r="G490">
        <v>1396</v>
      </c>
      <c r="H490" s="3">
        <v>94.75</v>
      </c>
      <c r="I490" s="3">
        <v>84.06</v>
      </c>
      <c r="J490">
        <v>210</v>
      </c>
      <c r="K490" t="s">
        <v>15</v>
      </c>
      <c r="L490">
        <f t="shared" si="35"/>
        <v>4</v>
      </c>
      <c r="M490" s="3">
        <f>Table1[[#This Row],[Quantity]]*Table1[[#This Row],[Negotiated_Price]]</f>
        <v>117347.76000000001</v>
      </c>
      <c r="N490" s="3">
        <f>Table1[[#This Row],[Quantity]]*Table1[[#This Row],[Unit_Price]]</f>
        <v>132271</v>
      </c>
      <c r="O490" s="3">
        <f>Table1[[#This Row],[ Original_Spend ]]-Table1[[#This Row],[ Total_Spend ]]</f>
        <v>14923.239999999991</v>
      </c>
      <c r="P490" s="2">
        <f t="shared" si="36"/>
        <v>0.1128232189973614</v>
      </c>
      <c r="Q490" s="2">
        <f t="shared" si="37"/>
        <v>0.1504297994269341</v>
      </c>
      <c r="R490" t="str">
        <f t="shared" si="38"/>
        <v>On Time</v>
      </c>
      <c r="S490" t="str">
        <f t="shared" si="39"/>
        <v>OK</v>
      </c>
    </row>
    <row r="491" spans="1:19" x14ac:dyDescent="0.25">
      <c r="A491" t="s">
        <v>516</v>
      </c>
      <c r="B491" t="s">
        <v>20</v>
      </c>
      <c r="C491" s="1">
        <v>44633</v>
      </c>
      <c r="D491" s="1">
        <v>44644</v>
      </c>
      <c r="E491" t="s">
        <v>21</v>
      </c>
      <c r="F491" t="s">
        <v>18</v>
      </c>
      <c r="G491">
        <v>1945</v>
      </c>
      <c r="H491" s="3">
        <v>11.28</v>
      </c>
      <c r="I491" s="3">
        <v>9.98</v>
      </c>
      <c r="J491">
        <v>94</v>
      </c>
      <c r="K491" t="s">
        <v>15</v>
      </c>
      <c r="L491">
        <f t="shared" si="35"/>
        <v>11</v>
      </c>
      <c r="M491" s="3">
        <f>Table1[[#This Row],[Quantity]]*Table1[[#This Row],[Negotiated_Price]]</f>
        <v>19411.100000000002</v>
      </c>
      <c r="N491" s="3">
        <f>Table1[[#This Row],[Quantity]]*Table1[[#This Row],[Unit_Price]]</f>
        <v>21939.599999999999</v>
      </c>
      <c r="O491" s="3">
        <f>Table1[[#This Row],[ Original_Spend ]]-Table1[[#This Row],[ Total_Spend ]]</f>
        <v>2528.4999999999964</v>
      </c>
      <c r="P491" s="2">
        <f t="shared" si="36"/>
        <v>0.11524822695035446</v>
      </c>
      <c r="Q491" s="2">
        <f t="shared" si="37"/>
        <v>4.8329048843187658E-2</v>
      </c>
      <c r="R491" t="str">
        <f t="shared" si="38"/>
        <v>Late</v>
      </c>
      <c r="S491" t="str">
        <f t="shared" si="39"/>
        <v>OK</v>
      </c>
    </row>
    <row r="492" spans="1:19" x14ac:dyDescent="0.25">
      <c r="A492" t="s">
        <v>517</v>
      </c>
      <c r="B492" t="s">
        <v>17</v>
      </c>
      <c r="C492" s="1">
        <v>44847</v>
      </c>
      <c r="D492" s="1">
        <v>44852</v>
      </c>
      <c r="E492" t="s">
        <v>24</v>
      </c>
      <c r="F492" t="s">
        <v>18</v>
      </c>
      <c r="G492">
        <v>735</v>
      </c>
      <c r="H492" s="3">
        <v>18.489999999999998</v>
      </c>
      <c r="I492" s="3">
        <v>15.89</v>
      </c>
      <c r="J492">
        <v>113</v>
      </c>
      <c r="K492" t="s">
        <v>27</v>
      </c>
      <c r="L492">
        <f t="shared" si="35"/>
        <v>5</v>
      </c>
      <c r="M492" s="3">
        <f>Table1[[#This Row],[Quantity]]*Table1[[#This Row],[Negotiated_Price]]</f>
        <v>11679.15</v>
      </c>
      <c r="N492" s="3">
        <f>Table1[[#This Row],[Quantity]]*Table1[[#This Row],[Unit_Price]]</f>
        <v>13590.15</v>
      </c>
      <c r="O492" s="3">
        <f>Table1[[#This Row],[ Original_Spend ]]-Table1[[#This Row],[ Total_Spend ]]</f>
        <v>1911</v>
      </c>
      <c r="P492" s="2">
        <f t="shared" si="36"/>
        <v>0.14061654948620878</v>
      </c>
      <c r="Q492" s="2">
        <f t="shared" si="37"/>
        <v>0.15374149659863945</v>
      </c>
      <c r="R492" t="str">
        <f t="shared" si="38"/>
        <v>On Time</v>
      </c>
      <c r="S492" t="str">
        <f t="shared" si="39"/>
        <v>OK</v>
      </c>
    </row>
    <row r="493" spans="1:19" x14ac:dyDescent="0.25">
      <c r="A493" t="s">
        <v>518</v>
      </c>
      <c r="B493" t="s">
        <v>29</v>
      </c>
      <c r="C493" s="1">
        <v>44921</v>
      </c>
      <c r="D493" s="1">
        <v>44937</v>
      </c>
      <c r="E493" t="s">
        <v>13</v>
      </c>
      <c r="F493" t="s">
        <v>35</v>
      </c>
      <c r="G493">
        <v>1865</v>
      </c>
      <c r="H493" s="3">
        <v>30.29</v>
      </c>
      <c r="I493" s="3">
        <v>26.83</v>
      </c>
      <c r="J493">
        <v>56</v>
      </c>
      <c r="K493" t="s">
        <v>15</v>
      </c>
      <c r="L493">
        <f t="shared" si="35"/>
        <v>16</v>
      </c>
      <c r="M493" s="3">
        <f>Table1[[#This Row],[Quantity]]*Table1[[#This Row],[Negotiated_Price]]</f>
        <v>50037.95</v>
      </c>
      <c r="N493" s="3">
        <f>Table1[[#This Row],[Quantity]]*Table1[[#This Row],[Unit_Price]]</f>
        <v>56490.85</v>
      </c>
      <c r="O493" s="3">
        <f>Table1[[#This Row],[ Original_Spend ]]-Table1[[#This Row],[ Total_Spend ]]</f>
        <v>6452.9000000000015</v>
      </c>
      <c r="P493" s="2">
        <f t="shared" si="36"/>
        <v>0.11422911852096404</v>
      </c>
      <c r="Q493" s="2">
        <f t="shared" si="37"/>
        <v>3.0026809651474532E-2</v>
      </c>
      <c r="R493" t="str">
        <f t="shared" si="38"/>
        <v>Pending</v>
      </c>
      <c r="S493" t="str">
        <f t="shared" si="39"/>
        <v>Status-Date Conflict</v>
      </c>
    </row>
    <row r="494" spans="1:19" x14ac:dyDescent="0.25">
      <c r="A494" t="s">
        <v>519</v>
      </c>
      <c r="B494" t="s">
        <v>23</v>
      </c>
      <c r="C494" s="1">
        <v>45218</v>
      </c>
      <c r="D494" s="1">
        <v>45223</v>
      </c>
      <c r="E494" t="s">
        <v>39</v>
      </c>
      <c r="F494" t="s">
        <v>14</v>
      </c>
      <c r="G494">
        <v>675</v>
      </c>
      <c r="H494" s="3">
        <v>13.69</v>
      </c>
      <c r="I494" s="3">
        <v>11.84</v>
      </c>
      <c r="J494">
        <v>52</v>
      </c>
      <c r="K494" t="s">
        <v>15</v>
      </c>
      <c r="L494">
        <f t="shared" si="35"/>
        <v>5</v>
      </c>
      <c r="M494" s="3">
        <f>Table1[[#This Row],[Quantity]]*Table1[[#This Row],[Negotiated_Price]]</f>
        <v>7992</v>
      </c>
      <c r="N494" s="3">
        <f>Table1[[#This Row],[Quantity]]*Table1[[#This Row],[Unit_Price]]</f>
        <v>9240.75</v>
      </c>
      <c r="O494" s="3">
        <f>Table1[[#This Row],[ Original_Spend ]]-Table1[[#This Row],[ Total_Spend ]]</f>
        <v>1248.75</v>
      </c>
      <c r="P494" s="2">
        <f t="shared" si="36"/>
        <v>0.13513513513513514</v>
      </c>
      <c r="Q494" s="2">
        <f t="shared" si="37"/>
        <v>7.7037037037037043E-2</v>
      </c>
      <c r="R494" t="str">
        <f t="shared" si="38"/>
        <v>Cancelled</v>
      </c>
      <c r="S494" t="str">
        <f t="shared" si="39"/>
        <v>Status-Date Conflict</v>
      </c>
    </row>
    <row r="495" spans="1:19" x14ac:dyDescent="0.25">
      <c r="A495" t="s">
        <v>520</v>
      </c>
      <c r="B495" t="s">
        <v>20</v>
      </c>
      <c r="C495" s="1">
        <v>45083</v>
      </c>
      <c r="D495" s="1">
        <v>45099</v>
      </c>
      <c r="E495" t="s">
        <v>21</v>
      </c>
      <c r="F495" t="s">
        <v>35</v>
      </c>
      <c r="G495">
        <v>1361</v>
      </c>
      <c r="H495" s="3">
        <v>28.57</v>
      </c>
      <c r="I495" s="3">
        <v>24.29</v>
      </c>
      <c r="J495">
        <v>65</v>
      </c>
      <c r="K495" t="s">
        <v>15</v>
      </c>
      <c r="L495">
        <f t="shared" si="35"/>
        <v>16</v>
      </c>
      <c r="M495" s="3">
        <f>Table1[[#This Row],[Quantity]]*Table1[[#This Row],[Negotiated_Price]]</f>
        <v>33058.69</v>
      </c>
      <c r="N495" s="3">
        <f>Table1[[#This Row],[Quantity]]*Table1[[#This Row],[Unit_Price]]</f>
        <v>38883.769999999997</v>
      </c>
      <c r="O495" s="3">
        <f>Table1[[#This Row],[ Original_Spend ]]-Table1[[#This Row],[ Total_Spend ]]</f>
        <v>5825.0799999999945</v>
      </c>
      <c r="P495" s="2">
        <f t="shared" si="36"/>
        <v>0.1498074903745186</v>
      </c>
      <c r="Q495" s="2">
        <f t="shared" si="37"/>
        <v>4.7759000734753858E-2</v>
      </c>
      <c r="R495" t="str">
        <f t="shared" si="38"/>
        <v>Pending</v>
      </c>
      <c r="S495" t="str">
        <f t="shared" si="39"/>
        <v>Status-Date Conflict</v>
      </c>
    </row>
    <row r="496" spans="1:19" x14ac:dyDescent="0.25">
      <c r="A496" t="s">
        <v>521</v>
      </c>
      <c r="B496" t="s">
        <v>20</v>
      </c>
      <c r="C496" s="1">
        <v>44971</v>
      </c>
      <c r="D496" s="1">
        <v>44972</v>
      </c>
      <c r="E496" t="s">
        <v>26</v>
      </c>
      <c r="F496" t="s">
        <v>18</v>
      </c>
      <c r="G496">
        <v>903</v>
      </c>
      <c r="H496" s="3">
        <v>66.53</v>
      </c>
      <c r="I496" s="3">
        <v>60.15</v>
      </c>
      <c r="J496">
        <v>29</v>
      </c>
      <c r="K496" t="s">
        <v>15</v>
      </c>
      <c r="L496">
        <f t="shared" si="35"/>
        <v>1</v>
      </c>
      <c r="M496" s="3">
        <f>Table1[[#This Row],[Quantity]]*Table1[[#This Row],[Negotiated_Price]]</f>
        <v>54315.45</v>
      </c>
      <c r="N496" s="3">
        <f>Table1[[#This Row],[Quantity]]*Table1[[#This Row],[Unit_Price]]</f>
        <v>60076.590000000004</v>
      </c>
      <c r="O496" s="3">
        <f>Table1[[#This Row],[ Original_Spend ]]-Table1[[#This Row],[ Total_Spend ]]</f>
        <v>5761.1400000000067</v>
      </c>
      <c r="P496" s="2">
        <f t="shared" si="36"/>
        <v>9.5896588005411204E-2</v>
      </c>
      <c r="Q496" s="2">
        <f t="shared" si="37"/>
        <v>3.2115171650055369E-2</v>
      </c>
      <c r="R496" t="str">
        <f t="shared" si="38"/>
        <v>On Time</v>
      </c>
      <c r="S496" t="str">
        <f t="shared" si="39"/>
        <v>OK</v>
      </c>
    </row>
    <row r="497" spans="1:19" x14ac:dyDescent="0.25">
      <c r="A497" t="s">
        <v>522</v>
      </c>
      <c r="B497" t="s">
        <v>29</v>
      </c>
      <c r="C497" s="1">
        <v>45257</v>
      </c>
      <c r="E497" t="s">
        <v>24</v>
      </c>
      <c r="F497" t="s">
        <v>14</v>
      </c>
      <c r="G497">
        <v>1736</v>
      </c>
      <c r="H497" s="3">
        <v>53.2</v>
      </c>
      <c r="I497" s="3">
        <v>50.68</v>
      </c>
      <c r="J497">
        <v>48</v>
      </c>
      <c r="K497" t="s">
        <v>15</v>
      </c>
      <c r="L497" t="str">
        <f t="shared" si="35"/>
        <v/>
      </c>
      <c r="M497" s="3">
        <f>Table1[[#This Row],[Quantity]]*Table1[[#This Row],[Negotiated_Price]]</f>
        <v>87980.479999999996</v>
      </c>
      <c r="N497" s="3">
        <f>Table1[[#This Row],[Quantity]]*Table1[[#This Row],[Unit_Price]]</f>
        <v>92355.200000000012</v>
      </c>
      <c r="O497" s="3">
        <f>Table1[[#This Row],[ Original_Spend ]]-Table1[[#This Row],[ Total_Spend ]]</f>
        <v>4374.7200000000157</v>
      </c>
      <c r="P497" s="2">
        <f t="shared" si="36"/>
        <v>4.736842105263174E-2</v>
      </c>
      <c r="Q497" s="2">
        <f t="shared" si="37"/>
        <v>2.7649769585253458E-2</v>
      </c>
      <c r="R497" t="str">
        <f t="shared" si="38"/>
        <v>Cancelled</v>
      </c>
      <c r="S497" t="str">
        <f t="shared" si="39"/>
        <v>OK</v>
      </c>
    </row>
    <row r="498" spans="1:19" x14ac:dyDescent="0.25">
      <c r="A498" t="s">
        <v>523</v>
      </c>
      <c r="B498" t="s">
        <v>23</v>
      </c>
      <c r="C498" s="1">
        <v>45111</v>
      </c>
      <c r="D498" s="1">
        <v>45118</v>
      </c>
      <c r="E498" t="s">
        <v>21</v>
      </c>
      <c r="F498" t="s">
        <v>18</v>
      </c>
      <c r="G498">
        <v>1011</v>
      </c>
      <c r="H498" s="3">
        <v>98.47</v>
      </c>
      <c r="I498" s="3">
        <v>97.06</v>
      </c>
      <c r="J498">
        <v>91</v>
      </c>
      <c r="K498" t="s">
        <v>15</v>
      </c>
      <c r="L498">
        <f t="shared" si="35"/>
        <v>7</v>
      </c>
      <c r="M498" s="3">
        <f>Table1[[#This Row],[Quantity]]*Table1[[#This Row],[Negotiated_Price]]</f>
        <v>98127.66</v>
      </c>
      <c r="N498" s="3">
        <f>Table1[[#This Row],[Quantity]]*Table1[[#This Row],[Unit_Price]]</f>
        <v>99553.17</v>
      </c>
      <c r="O498" s="3">
        <f>Table1[[#This Row],[ Original_Spend ]]-Table1[[#This Row],[ Total_Spend ]]</f>
        <v>1425.5099999999948</v>
      </c>
      <c r="P498" s="2">
        <f t="shared" si="36"/>
        <v>1.4319081953894535E-2</v>
      </c>
      <c r="Q498" s="2">
        <f t="shared" si="37"/>
        <v>9.0009891196834821E-2</v>
      </c>
      <c r="R498" t="str">
        <f t="shared" si="38"/>
        <v>On Time</v>
      </c>
      <c r="S498" t="str">
        <f t="shared" si="39"/>
        <v>OK</v>
      </c>
    </row>
    <row r="499" spans="1:19" x14ac:dyDescent="0.25">
      <c r="A499" t="s">
        <v>524</v>
      </c>
      <c r="B499" t="s">
        <v>17</v>
      </c>
      <c r="C499" s="1">
        <v>44901</v>
      </c>
      <c r="D499" s="1">
        <v>44919</v>
      </c>
      <c r="E499" t="s">
        <v>39</v>
      </c>
      <c r="F499" t="s">
        <v>18</v>
      </c>
      <c r="G499">
        <v>1712</v>
      </c>
      <c r="H499" s="3">
        <v>88.17</v>
      </c>
      <c r="I499" s="3">
        <v>85.86</v>
      </c>
      <c r="J499">
        <v>246</v>
      </c>
      <c r="K499" t="s">
        <v>15</v>
      </c>
      <c r="L499">
        <f t="shared" si="35"/>
        <v>18</v>
      </c>
      <c r="M499" s="3">
        <f>Table1[[#This Row],[Quantity]]*Table1[[#This Row],[Negotiated_Price]]</f>
        <v>146992.32000000001</v>
      </c>
      <c r="N499" s="3">
        <f>Table1[[#This Row],[Quantity]]*Table1[[#This Row],[Unit_Price]]</f>
        <v>150947.04</v>
      </c>
      <c r="O499" s="3">
        <f>Table1[[#This Row],[ Original_Spend ]]-Table1[[#This Row],[ Total_Spend ]]</f>
        <v>3954.7200000000012</v>
      </c>
      <c r="P499" s="2">
        <f t="shared" si="36"/>
        <v>2.6199387546784626E-2</v>
      </c>
      <c r="Q499" s="2">
        <f t="shared" si="37"/>
        <v>0.14369158878504673</v>
      </c>
      <c r="R499" t="str">
        <f t="shared" si="38"/>
        <v>Late</v>
      </c>
      <c r="S499" t="str">
        <f t="shared" si="39"/>
        <v>OK</v>
      </c>
    </row>
    <row r="500" spans="1:19" x14ac:dyDescent="0.25">
      <c r="A500" t="s">
        <v>525</v>
      </c>
      <c r="B500" t="s">
        <v>20</v>
      </c>
      <c r="C500" s="1">
        <v>44590</v>
      </c>
      <c r="E500" t="s">
        <v>13</v>
      </c>
      <c r="F500" t="s">
        <v>18</v>
      </c>
      <c r="G500">
        <v>204</v>
      </c>
      <c r="H500" s="3">
        <v>40.76</v>
      </c>
      <c r="I500" s="3">
        <v>37.46</v>
      </c>
      <c r="J500">
        <v>10</v>
      </c>
      <c r="K500" t="s">
        <v>15</v>
      </c>
      <c r="L500" t="str">
        <f t="shared" si="35"/>
        <v/>
      </c>
      <c r="M500" s="3">
        <f>Table1[[#This Row],[Quantity]]*Table1[[#This Row],[Negotiated_Price]]</f>
        <v>7641.84</v>
      </c>
      <c r="N500" s="3">
        <f>Table1[[#This Row],[Quantity]]*Table1[[#This Row],[Unit_Price]]</f>
        <v>8315.0399999999991</v>
      </c>
      <c r="O500" s="3">
        <f>Table1[[#This Row],[ Original_Spend ]]-Table1[[#This Row],[ Total_Spend ]]</f>
        <v>673.19999999999891</v>
      </c>
      <c r="P500" s="2">
        <f t="shared" si="36"/>
        <v>8.0961727183513132E-2</v>
      </c>
      <c r="Q500" s="2">
        <f t="shared" si="37"/>
        <v>4.9019607843137254E-2</v>
      </c>
      <c r="R500" t="str">
        <f t="shared" si="38"/>
        <v>Missing Delivery Date</v>
      </c>
      <c r="S500" t="str">
        <f t="shared" si="39"/>
        <v>Missing Delivery Date</v>
      </c>
    </row>
    <row r="501" spans="1:19" x14ac:dyDescent="0.25">
      <c r="A501" t="s">
        <v>526</v>
      </c>
      <c r="B501" t="s">
        <v>23</v>
      </c>
      <c r="C501" s="1">
        <v>44680</v>
      </c>
      <c r="D501" s="1">
        <v>44694</v>
      </c>
      <c r="E501" t="s">
        <v>39</v>
      </c>
      <c r="F501" t="s">
        <v>33</v>
      </c>
      <c r="G501">
        <v>539</v>
      </c>
      <c r="H501" s="3">
        <v>33.85</v>
      </c>
      <c r="I501" s="3">
        <v>30.57</v>
      </c>
      <c r="J501">
        <v>34</v>
      </c>
      <c r="K501" t="s">
        <v>27</v>
      </c>
      <c r="L501">
        <f t="shared" si="35"/>
        <v>14</v>
      </c>
      <c r="M501" s="3">
        <f>Table1[[#This Row],[Quantity]]*Table1[[#This Row],[Negotiated_Price]]</f>
        <v>16477.23</v>
      </c>
      <c r="N501" s="3">
        <f>Table1[[#This Row],[Quantity]]*Table1[[#This Row],[Unit_Price]]</f>
        <v>18245.150000000001</v>
      </c>
      <c r="O501" s="3">
        <f>Table1[[#This Row],[ Original_Spend ]]-Table1[[#This Row],[ Total_Spend ]]</f>
        <v>1767.9200000000019</v>
      </c>
      <c r="P501" s="2">
        <f t="shared" si="36"/>
        <v>9.6898079763663311E-2</v>
      </c>
      <c r="Q501" s="2">
        <f t="shared" si="37"/>
        <v>6.3079777365491654E-2</v>
      </c>
      <c r="R501" t="str">
        <f t="shared" si="38"/>
        <v>Partially Delivered</v>
      </c>
      <c r="S501" t="str">
        <f t="shared" si="39"/>
        <v>Status-Date Conflict</v>
      </c>
    </row>
    <row r="502" spans="1:19" x14ac:dyDescent="0.25">
      <c r="A502" t="s">
        <v>527</v>
      </c>
      <c r="B502" t="s">
        <v>17</v>
      </c>
      <c r="C502" s="1">
        <v>44829</v>
      </c>
      <c r="D502" s="1">
        <v>44839</v>
      </c>
      <c r="E502" t="s">
        <v>13</v>
      </c>
      <c r="F502" t="s">
        <v>18</v>
      </c>
      <c r="G502">
        <v>1459</v>
      </c>
      <c r="H502" s="3">
        <v>45.94</v>
      </c>
      <c r="I502" s="3">
        <v>42.56</v>
      </c>
      <c r="J502">
        <v>212</v>
      </c>
      <c r="K502" t="s">
        <v>27</v>
      </c>
      <c r="L502">
        <f t="shared" si="35"/>
        <v>10</v>
      </c>
      <c r="M502" s="3">
        <f>Table1[[#This Row],[Quantity]]*Table1[[#This Row],[Negotiated_Price]]</f>
        <v>62095.040000000001</v>
      </c>
      <c r="N502" s="3">
        <f>Table1[[#This Row],[Quantity]]*Table1[[#This Row],[Unit_Price]]</f>
        <v>67026.459999999992</v>
      </c>
      <c r="O502" s="3">
        <f>Table1[[#This Row],[ Original_Spend ]]-Table1[[#This Row],[ Total_Spend ]]</f>
        <v>4931.419999999991</v>
      </c>
      <c r="P502" s="2">
        <f t="shared" si="36"/>
        <v>7.3574227252938496E-2</v>
      </c>
      <c r="Q502" s="2">
        <f t="shared" si="37"/>
        <v>0.14530500342700481</v>
      </c>
      <c r="R502" t="str">
        <f t="shared" si="38"/>
        <v>On Time</v>
      </c>
      <c r="S502" t="str">
        <f t="shared" si="39"/>
        <v>OK</v>
      </c>
    </row>
    <row r="503" spans="1:19" x14ac:dyDescent="0.25">
      <c r="A503" t="s">
        <v>528</v>
      </c>
      <c r="B503" t="s">
        <v>20</v>
      </c>
      <c r="C503" s="1">
        <v>44744</v>
      </c>
      <c r="D503" s="1">
        <v>44748</v>
      </c>
      <c r="E503" t="s">
        <v>21</v>
      </c>
      <c r="F503" t="s">
        <v>18</v>
      </c>
      <c r="G503">
        <v>834</v>
      </c>
      <c r="H503" s="3">
        <v>65.02</v>
      </c>
      <c r="I503" s="3">
        <v>56.19</v>
      </c>
      <c r="K503" t="s">
        <v>15</v>
      </c>
      <c r="L503">
        <f t="shared" si="35"/>
        <v>4</v>
      </c>
      <c r="M503" s="3">
        <f>Table1[[#This Row],[Quantity]]*Table1[[#This Row],[Negotiated_Price]]</f>
        <v>46862.46</v>
      </c>
      <c r="N503" s="3">
        <f>Table1[[#This Row],[Quantity]]*Table1[[#This Row],[Unit_Price]]</f>
        <v>54226.68</v>
      </c>
      <c r="O503" s="3">
        <f>Table1[[#This Row],[ Original_Spend ]]-Table1[[#This Row],[ Total_Spend ]]</f>
        <v>7364.2200000000012</v>
      </c>
      <c r="P503" s="2">
        <f t="shared" si="36"/>
        <v>0.13580436788680408</v>
      </c>
      <c r="Q503" s="2">
        <f t="shared" si="37"/>
        <v>0</v>
      </c>
      <c r="R503" t="str">
        <f t="shared" si="38"/>
        <v>On Time</v>
      </c>
      <c r="S503" t="str">
        <f t="shared" si="39"/>
        <v>OK</v>
      </c>
    </row>
    <row r="504" spans="1:19" x14ac:dyDescent="0.25">
      <c r="A504" t="s">
        <v>529</v>
      </c>
      <c r="B504" t="s">
        <v>20</v>
      </c>
      <c r="C504" s="1">
        <v>45156</v>
      </c>
      <c r="D504" s="1">
        <v>45170</v>
      </c>
      <c r="E504" t="s">
        <v>24</v>
      </c>
      <c r="F504" t="s">
        <v>33</v>
      </c>
      <c r="G504">
        <v>1177</v>
      </c>
      <c r="H504" s="3">
        <v>37.369999999999997</v>
      </c>
      <c r="I504" s="3">
        <v>34.270000000000003</v>
      </c>
      <c r="J504">
        <v>60</v>
      </c>
      <c r="K504" t="s">
        <v>15</v>
      </c>
      <c r="L504">
        <f t="shared" si="35"/>
        <v>14</v>
      </c>
      <c r="M504" s="3">
        <f>Table1[[#This Row],[Quantity]]*Table1[[#This Row],[Negotiated_Price]]</f>
        <v>40335.79</v>
      </c>
      <c r="N504" s="3">
        <f>Table1[[#This Row],[Quantity]]*Table1[[#This Row],[Unit_Price]]</f>
        <v>43984.49</v>
      </c>
      <c r="O504" s="3">
        <f>Table1[[#This Row],[ Original_Spend ]]-Table1[[#This Row],[ Total_Spend ]]</f>
        <v>3648.6999999999971</v>
      </c>
      <c r="P504" s="2">
        <f t="shared" si="36"/>
        <v>8.2954241370082893E-2</v>
      </c>
      <c r="Q504" s="2">
        <f t="shared" si="37"/>
        <v>5.0977060322854713E-2</v>
      </c>
      <c r="R504" t="str">
        <f t="shared" si="38"/>
        <v>Partially Delivered</v>
      </c>
      <c r="S504" t="str">
        <f t="shared" si="39"/>
        <v>Status-Date Conflict</v>
      </c>
    </row>
    <row r="505" spans="1:19" x14ac:dyDescent="0.25">
      <c r="A505" t="s">
        <v>530</v>
      </c>
      <c r="B505" t="s">
        <v>17</v>
      </c>
      <c r="C505" s="1">
        <v>44833</v>
      </c>
      <c r="D505" s="1">
        <v>44853</v>
      </c>
      <c r="E505" t="s">
        <v>21</v>
      </c>
      <c r="F505" t="s">
        <v>18</v>
      </c>
      <c r="G505">
        <v>1466</v>
      </c>
      <c r="H505" s="3">
        <v>68.819999999999993</v>
      </c>
      <c r="I505" s="3">
        <v>66.819999999999993</v>
      </c>
      <c r="J505">
        <v>211</v>
      </c>
      <c r="K505" t="s">
        <v>15</v>
      </c>
      <c r="L505">
        <f t="shared" si="35"/>
        <v>20</v>
      </c>
      <c r="M505" s="3">
        <f>Table1[[#This Row],[Quantity]]*Table1[[#This Row],[Negotiated_Price]]</f>
        <v>97958.12</v>
      </c>
      <c r="N505" s="3">
        <f>Table1[[#This Row],[Quantity]]*Table1[[#This Row],[Unit_Price]]</f>
        <v>100890.12</v>
      </c>
      <c r="O505" s="3">
        <f>Table1[[#This Row],[ Original_Spend ]]-Table1[[#This Row],[ Total_Spend ]]</f>
        <v>2932</v>
      </c>
      <c r="P505" s="2">
        <f t="shared" si="36"/>
        <v>2.9061319383900032E-2</v>
      </c>
      <c r="Q505" s="2">
        <f t="shared" si="37"/>
        <v>0.14392905866302866</v>
      </c>
      <c r="R505" t="str">
        <f t="shared" si="38"/>
        <v>Late</v>
      </c>
      <c r="S505" t="str">
        <f t="shared" si="39"/>
        <v>OK</v>
      </c>
    </row>
    <row r="506" spans="1:19" x14ac:dyDescent="0.25">
      <c r="A506" t="s">
        <v>531</v>
      </c>
      <c r="B506" t="s">
        <v>29</v>
      </c>
      <c r="C506" s="1">
        <v>44601</v>
      </c>
      <c r="D506" s="1">
        <v>44605</v>
      </c>
      <c r="E506" t="s">
        <v>39</v>
      </c>
      <c r="F506" t="s">
        <v>18</v>
      </c>
      <c r="G506">
        <v>1884</v>
      </c>
      <c r="H506" s="3">
        <v>47.08</v>
      </c>
      <c r="I506" s="3">
        <v>44.31</v>
      </c>
      <c r="J506">
        <v>54</v>
      </c>
      <c r="K506" t="s">
        <v>15</v>
      </c>
      <c r="L506">
        <f t="shared" si="35"/>
        <v>4</v>
      </c>
      <c r="M506" s="3">
        <f>Table1[[#This Row],[Quantity]]*Table1[[#This Row],[Negotiated_Price]]</f>
        <v>83480.040000000008</v>
      </c>
      <c r="N506" s="3">
        <f>Table1[[#This Row],[Quantity]]*Table1[[#This Row],[Unit_Price]]</f>
        <v>88698.72</v>
      </c>
      <c r="O506" s="3">
        <f>Table1[[#This Row],[ Original_Spend ]]-Table1[[#This Row],[ Total_Spend ]]</f>
        <v>5218.679999999993</v>
      </c>
      <c r="P506" s="2">
        <f t="shared" si="36"/>
        <v>5.8836023789294735E-2</v>
      </c>
      <c r="Q506" s="2">
        <f t="shared" si="37"/>
        <v>2.8662420382165606E-2</v>
      </c>
      <c r="R506" t="str">
        <f t="shared" si="38"/>
        <v>On Time</v>
      </c>
      <c r="S506" t="str">
        <f t="shared" si="39"/>
        <v>OK</v>
      </c>
    </row>
    <row r="507" spans="1:19" x14ac:dyDescent="0.25">
      <c r="A507" t="s">
        <v>532</v>
      </c>
      <c r="B507" t="s">
        <v>23</v>
      </c>
      <c r="C507" s="1">
        <v>44673</v>
      </c>
      <c r="D507" s="1">
        <v>44689</v>
      </c>
      <c r="E507" t="s">
        <v>39</v>
      </c>
      <c r="F507" t="s">
        <v>18</v>
      </c>
      <c r="G507">
        <v>295</v>
      </c>
      <c r="H507" s="3">
        <v>60.58</v>
      </c>
      <c r="I507" s="3">
        <v>57.32</v>
      </c>
      <c r="J507">
        <v>31</v>
      </c>
      <c r="K507" t="s">
        <v>15</v>
      </c>
      <c r="L507">
        <f t="shared" si="35"/>
        <v>16</v>
      </c>
      <c r="M507" s="3">
        <f>Table1[[#This Row],[Quantity]]*Table1[[#This Row],[Negotiated_Price]]</f>
        <v>16909.400000000001</v>
      </c>
      <c r="N507" s="3">
        <f>Table1[[#This Row],[Quantity]]*Table1[[#This Row],[Unit_Price]]</f>
        <v>17871.099999999999</v>
      </c>
      <c r="O507" s="3">
        <f>Table1[[#This Row],[ Original_Spend ]]-Table1[[#This Row],[ Total_Spend ]]</f>
        <v>961.69999999999709</v>
      </c>
      <c r="P507" s="2">
        <f t="shared" si="36"/>
        <v>5.3813139650049364E-2</v>
      </c>
      <c r="Q507" s="2">
        <f t="shared" si="37"/>
        <v>0.10508474576271186</v>
      </c>
      <c r="R507" t="str">
        <f t="shared" si="38"/>
        <v>Late</v>
      </c>
      <c r="S507" t="str">
        <f t="shared" si="39"/>
        <v>OK</v>
      </c>
    </row>
    <row r="508" spans="1:19" x14ac:dyDescent="0.25">
      <c r="A508" t="s">
        <v>533</v>
      </c>
      <c r="B508" t="s">
        <v>20</v>
      </c>
      <c r="C508" s="1">
        <v>45172</v>
      </c>
      <c r="D508" s="1">
        <v>45173</v>
      </c>
      <c r="E508" t="s">
        <v>26</v>
      </c>
      <c r="F508" t="s">
        <v>18</v>
      </c>
      <c r="G508">
        <v>1249</v>
      </c>
      <c r="H508" s="3">
        <v>54.18</v>
      </c>
      <c r="I508" s="3">
        <v>47.29</v>
      </c>
      <c r="J508">
        <v>59</v>
      </c>
      <c r="K508" t="s">
        <v>15</v>
      </c>
      <c r="L508">
        <f t="shared" si="35"/>
        <v>1</v>
      </c>
      <c r="M508" s="3">
        <f>Table1[[#This Row],[Quantity]]*Table1[[#This Row],[Negotiated_Price]]</f>
        <v>59065.21</v>
      </c>
      <c r="N508" s="3">
        <f>Table1[[#This Row],[Quantity]]*Table1[[#This Row],[Unit_Price]]</f>
        <v>67670.819999999992</v>
      </c>
      <c r="O508" s="3">
        <f>Table1[[#This Row],[ Original_Spend ]]-Table1[[#This Row],[ Total_Spend ]]</f>
        <v>8605.6099999999933</v>
      </c>
      <c r="P508" s="2">
        <f t="shared" si="36"/>
        <v>0.12716869693613872</v>
      </c>
      <c r="Q508" s="2">
        <f t="shared" si="37"/>
        <v>4.7237790232185752E-2</v>
      </c>
      <c r="R508" t="str">
        <f t="shared" si="38"/>
        <v>On Time</v>
      </c>
      <c r="S508" t="str">
        <f t="shared" si="39"/>
        <v>OK</v>
      </c>
    </row>
    <row r="509" spans="1:19" x14ac:dyDescent="0.25">
      <c r="A509" t="s">
        <v>534</v>
      </c>
      <c r="B509" t="s">
        <v>17</v>
      </c>
      <c r="C509" s="1">
        <v>45006</v>
      </c>
      <c r="D509" s="1">
        <v>45025</v>
      </c>
      <c r="E509" t="s">
        <v>26</v>
      </c>
      <c r="F509" t="s">
        <v>18</v>
      </c>
      <c r="G509">
        <v>1112</v>
      </c>
      <c r="H509" s="3">
        <v>39.06</v>
      </c>
      <c r="I509" s="3">
        <v>33.6</v>
      </c>
      <c r="J509">
        <v>184</v>
      </c>
      <c r="K509" t="s">
        <v>27</v>
      </c>
      <c r="L509">
        <f t="shared" si="35"/>
        <v>19</v>
      </c>
      <c r="M509" s="3">
        <f>Table1[[#This Row],[Quantity]]*Table1[[#This Row],[Negotiated_Price]]</f>
        <v>37363.200000000004</v>
      </c>
      <c r="N509" s="3">
        <f>Table1[[#This Row],[Quantity]]*Table1[[#This Row],[Unit_Price]]</f>
        <v>43434.720000000001</v>
      </c>
      <c r="O509" s="3">
        <f>Table1[[#This Row],[ Original_Spend ]]-Table1[[#This Row],[ Total_Spend ]]</f>
        <v>6071.5199999999968</v>
      </c>
      <c r="P509" s="2">
        <f t="shared" si="36"/>
        <v>0.13978494623655907</v>
      </c>
      <c r="Q509" s="2">
        <f t="shared" si="37"/>
        <v>0.16546762589928057</v>
      </c>
      <c r="R509" t="str">
        <f t="shared" si="38"/>
        <v>Late</v>
      </c>
      <c r="S509" t="str">
        <f t="shared" si="39"/>
        <v>OK</v>
      </c>
    </row>
    <row r="510" spans="1:19" x14ac:dyDescent="0.25">
      <c r="A510" t="s">
        <v>535</v>
      </c>
      <c r="B510" t="s">
        <v>20</v>
      </c>
      <c r="C510" s="1">
        <v>44915</v>
      </c>
      <c r="D510" s="1">
        <v>44920</v>
      </c>
      <c r="E510" t="s">
        <v>13</v>
      </c>
      <c r="F510" t="s">
        <v>18</v>
      </c>
      <c r="G510">
        <v>1550</v>
      </c>
      <c r="H510" s="3">
        <v>100.61</v>
      </c>
      <c r="I510" s="3">
        <v>97.43</v>
      </c>
      <c r="J510">
        <v>66</v>
      </c>
      <c r="K510" t="s">
        <v>15</v>
      </c>
      <c r="L510">
        <f t="shared" si="35"/>
        <v>5</v>
      </c>
      <c r="M510" s="3">
        <f>Table1[[#This Row],[Quantity]]*Table1[[#This Row],[Negotiated_Price]]</f>
        <v>151016.5</v>
      </c>
      <c r="N510" s="3">
        <f>Table1[[#This Row],[Quantity]]*Table1[[#This Row],[Unit_Price]]</f>
        <v>155945.5</v>
      </c>
      <c r="O510" s="3">
        <f>Table1[[#This Row],[ Original_Spend ]]-Table1[[#This Row],[ Total_Spend ]]</f>
        <v>4929</v>
      </c>
      <c r="P510" s="2">
        <f t="shared" si="36"/>
        <v>3.160719610376702E-2</v>
      </c>
      <c r="Q510" s="2">
        <f t="shared" si="37"/>
        <v>4.2580645161290322E-2</v>
      </c>
      <c r="R510" t="str">
        <f t="shared" si="38"/>
        <v>On Time</v>
      </c>
      <c r="S510" t="str">
        <f t="shared" si="39"/>
        <v>OK</v>
      </c>
    </row>
    <row r="511" spans="1:19" x14ac:dyDescent="0.25">
      <c r="A511" t="s">
        <v>536</v>
      </c>
      <c r="B511" t="s">
        <v>17</v>
      </c>
      <c r="C511" s="1">
        <v>44883</v>
      </c>
      <c r="D511" s="1">
        <v>44884</v>
      </c>
      <c r="E511" t="s">
        <v>39</v>
      </c>
      <c r="F511" t="s">
        <v>18</v>
      </c>
      <c r="G511">
        <v>1755</v>
      </c>
      <c r="H511" s="3">
        <v>82.66</v>
      </c>
      <c r="I511" s="3">
        <v>73.67</v>
      </c>
      <c r="J511">
        <v>258</v>
      </c>
      <c r="K511" t="s">
        <v>27</v>
      </c>
      <c r="L511">
        <f t="shared" si="35"/>
        <v>1</v>
      </c>
      <c r="M511" s="3">
        <f>Table1[[#This Row],[Quantity]]*Table1[[#This Row],[Negotiated_Price]]</f>
        <v>129290.85</v>
      </c>
      <c r="N511" s="3">
        <f>Table1[[#This Row],[Quantity]]*Table1[[#This Row],[Unit_Price]]</f>
        <v>145068.29999999999</v>
      </c>
      <c r="O511" s="3">
        <f>Table1[[#This Row],[ Original_Spend ]]-Table1[[#This Row],[ Total_Spend ]]</f>
        <v>15777.449999999983</v>
      </c>
      <c r="P511" s="2">
        <f t="shared" si="36"/>
        <v>0.10875877086861832</v>
      </c>
      <c r="Q511" s="2">
        <f t="shared" si="37"/>
        <v>0.14700854700854701</v>
      </c>
      <c r="R511" t="str">
        <f t="shared" si="38"/>
        <v>On Time</v>
      </c>
      <c r="S511" t="str">
        <f t="shared" si="39"/>
        <v>OK</v>
      </c>
    </row>
    <row r="512" spans="1:19" x14ac:dyDescent="0.25">
      <c r="A512" t="s">
        <v>537</v>
      </c>
      <c r="B512" t="s">
        <v>20</v>
      </c>
      <c r="C512" s="1">
        <v>45008</v>
      </c>
      <c r="D512" s="1">
        <v>45016</v>
      </c>
      <c r="E512" t="s">
        <v>26</v>
      </c>
      <c r="F512" t="s">
        <v>18</v>
      </c>
      <c r="G512">
        <v>808</v>
      </c>
      <c r="H512" s="3">
        <v>24.19</v>
      </c>
      <c r="I512" s="3">
        <v>21.64</v>
      </c>
      <c r="J512">
        <v>39</v>
      </c>
      <c r="K512" t="s">
        <v>15</v>
      </c>
      <c r="L512">
        <f t="shared" si="35"/>
        <v>8</v>
      </c>
      <c r="M512" s="3">
        <f>Table1[[#This Row],[Quantity]]*Table1[[#This Row],[Negotiated_Price]]</f>
        <v>17485.12</v>
      </c>
      <c r="N512" s="3">
        <f>Table1[[#This Row],[Quantity]]*Table1[[#This Row],[Unit_Price]]</f>
        <v>19545.52</v>
      </c>
      <c r="O512" s="3">
        <f>Table1[[#This Row],[ Original_Spend ]]-Table1[[#This Row],[ Total_Spend ]]</f>
        <v>2060.4000000000015</v>
      </c>
      <c r="P512" s="2">
        <f t="shared" si="36"/>
        <v>0.10541546093427043</v>
      </c>
      <c r="Q512" s="2">
        <f t="shared" si="37"/>
        <v>4.8267326732673269E-2</v>
      </c>
      <c r="R512" t="str">
        <f t="shared" si="38"/>
        <v>On Time</v>
      </c>
      <c r="S512" t="str">
        <f t="shared" si="39"/>
        <v>OK</v>
      </c>
    </row>
    <row r="513" spans="1:19" x14ac:dyDescent="0.25">
      <c r="A513" t="s">
        <v>538</v>
      </c>
      <c r="B513" t="s">
        <v>12</v>
      </c>
      <c r="C513" s="1">
        <v>45182</v>
      </c>
      <c r="D513" s="1">
        <v>45188</v>
      </c>
      <c r="E513" t="s">
        <v>26</v>
      </c>
      <c r="F513" t="s">
        <v>33</v>
      </c>
      <c r="G513">
        <v>587</v>
      </c>
      <c r="H513" s="3">
        <v>96.98</v>
      </c>
      <c r="I513" s="3">
        <v>95.35</v>
      </c>
      <c r="J513">
        <v>14</v>
      </c>
      <c r="K513" t="s">
        <v>15</v>
      </c>
      <c r="L513">
        <f t="shared" si="35"/>
        <v>6</v>
      </c>
      <c r="M513" s="3">
        <f>Table1[[#This Row],[Quantity]]*Table1[[#This Row],[Negotiated_Price]]</f>
        <v>55970.45</v>
      </c>
      <c r="N513" s="3">
        <f>Table1[[#This Row],[Quantity]]*Table1[[#This Row],[Unit_Price]]</f>
        <v>56927.26</v>
      </c>
      <c r="O513" s="3">
        <f>Table1[[#This Row],[ Original_Spend ]]-Table1[[#This Row],[ Total_Spend ]]</f>
        <v>956.81000000000495</v>
      </c>
      <c r="P513" s="2">
        <f t="shared" si="36"/>
        <v>1.6807589193648262E-2</v>
      </c>
      <c r="Q513" s="2">
        <f t="shared" si="37"/>
        <v>2.385008517887564E-2</v>
      </c>
      <c r="R513" t="str">
        <f t="shared" si="38"/>
        <v>Partially Delivered</v>
      </c>
      <c r="S513" t="str">
        <f t="shared" si="39"/>
        <v>Status-Date Conflict</v>
      </c>
    </row>
    <row r="514" spans="1:19" x14ac:dyDescent="0.25">
      <c r="A514" t="s">
        <v>539</v>
      </c>
      <c r="B514" t="s">
        <v>29</v>
      </c>
      <c r="C514" s="1">
        <v>45085</v>
      </c>
      <c r="D514" s="1">
        <v>45088</v>
      </c>
      <c r="E514" t="s">
        <v>21</v>
      </c>
      <c r="F514" t="s">
        <v>18</v>
      </c>
      <c r="G514">
        <v>1940</v>
      </c>
      <c r="H514" s="3">
        <v>58.45</v>
      </c>
      <c r="I514" s="3">
        <v>50.29</v>
      </c>
      <c r="J514">
        <v>54</v>
      </c>
      <c r="K514" t="s">
        <v>15</v>
      </c>
      <c r="L514">
        <f t="shared" ref="L514:L577" si="40">IF(OR(C514="",D514=""),"",D514-C514)</f>
        <v>3</v>
      </c>
      <c r="M514" s="3">
        <f>Table1[[#This Row],[Quantity]]*Table1[[#This Row],[Negotiated_Price]]</f>
        <v>97562.599999999991</v>
      </c>
      <c r="N514" s="3">
        <f>Table1[[#This Row],[Quantity]]*Table1[[#This Row],[Unit_Price]]</f>
        <v>113393</v>
      </c>
      <c r="O514" s="3">
        <f>Table1[[#This Row],[ Original_Spend ]]-Table1[[#This Row],[ Total_Spend ]]</f>
        <v>15830.400000000009</v>
      </c>
      <c r="P514" s="2">
        <f t="shared" ref="P514:P577" si="41">IFERROR(O514/N514,0)</f>
        <v>0.13960650128314805</v>
      </c>
      <c r="Q514" s="2">
        <f t="shared" ref="Q514:Q577" si="42">IFERROR(J514/G514,0)</f>
        <v>2.7835051546391754E-2</v>
      </c>
      <c r="R514" t="str">
        <f t="shared" si="38"/>
        <v>On Time</v>
      </c>
      <c r="S514" t="str">
        <f t="shared" si="39"/>
        <v>OK</v>
      </c>
    </row>
    <row r="515" spans="1:19" x14ac:dyDescent="0.25">
      <c r="A515" t="s">
        <v>540</v>
      </c>
      <c r="B515" t="s">
        <v>23</v>
      </c>
      <c r="C515" s="1">
        <v>44680</v>
      </c>
      <c r="D515" s="1">
        <v>44692</v>
      </c>
      <c r="E515" t="s">
        <v>13</v>
      </c>
      <c r="F515" t="s">
        <v>14</v>
      </c>
      <c r="G515">
        <v>1891</v>
      </c>
      <c r="H515" s="3">
        <v>91.87</v>
      </c>
      <c r="I515" s="3">
        <v>80.28</v>
      </c>
      <c r="J515">
        <v>158</v>
      </c>
      <c r="K515" t="s">
        <v>15</v>
      </c>
      <c r="L515">
        <f t="shared" si="40"/>
        <v>12</v>
      </c>
      <c r="M515" s="3">
        <f>Table1[[#This Row],[Quantity]]*Table1[[#This Row],[Negotiated_Price]]</f>
        <v>151809.48000000001</v>
      </c>
      <c r="N515" s="3">
        <f>Table1[[#This Row],[Quantity]]*Table1[[#This Row],[Unit_Price]]</f>
        <v>173726.17</v>
      </c>
      <c r="O515" s="3">
        <f>Table1[[#This Row],[ Original_Spend ]]-Table1[[#This Row],[ Total_Spend ]]</f>
        <v>21916.690000000002</v>
      </c>
      <c r="P515" s="2">
        <f t="shared" si="41"/>
        <v>0.12615652552519865</v>
      </c>
      <c r="Q515" s="2">
        <f t="shared" si="42"/>
        <v>8.3553675304071914E-2</v>
      </c>
      <c r="R515" t="str">
        <f t="shared" ref="R515:R578" si="43">IF(F515&lt;&gt;"Delivered",F515,IF(D515="","Missing Delivery Date",IF(L515&lt;=10,"On Time","Late")))</f>
        <v>Cancelled</v>
      </c>
      <c r="S515" t="str">
        <f t="shared" ref="S515:S578" si="44">IF(AND(F515&lt;&gt;"Delivered",D515&lt;&gt;""),"Status-Date Conflict",IF(AND(F515="Delivered",D515=""),"Missing Delivery Date","OK"))</f>
        <v>Status-Date Conflict</v>
      </c>
    </row>
    <row r="516" spans="1:19" x14ac:dyDescent="0.25">
      <c r="A516" t="s">
        <v>541</v>
      </c>
      <c r="B516" t="s">
        <v>29</v>
      </c>
      <c r="C516" s="1">
        <v>44956</v>
      </c>
      <c r="D516" s="1">
        <v>44973</v>
      </c>
      <c r="E516" t="s">
        <v>24</v>
      </c>
      <c r="F516" t="s">
        <v>18</v>
      </c>
      <c r="G516">
        <v>970</v>
      </c>
      <c r="H516" s="3">
        <v>86.91</v>
      </c>
      <c r="I516" s="3">
        <v>78.44</v>
      </c>
      <c r="J516">
        <v>18</v>
      </c>
      <c r="K516" t="s">
        <v>15</v>
      </c>
      <c r="L516">
        <f t="shared" si="40"/>
        <v>17</v>
      </c>
      <c r="M516" s="3">
        <f>Table1[[#This Row],[Quantity]]*Table1[[#This Row],[Negotiated_Price]]</f>
        <v>76086.8</v>
      </c>
      <c r="N516" s="3">
        <f>Table1[[#This Row],[Quantity]]*Table1[[#This Row],[Unit_Price]]</f>
        <v>84302.7</v>
      </c>
      <c r="O516" s="3">
        <f>Table1[[#This Row],[ Original_Spend ]]-Table1[[#This Row],[ Total_Spend ]]</f>
        <v>8215.8999999999942</v>
      </c>
      <c r="P516" s="2">
        <f t="shared" si="41"/>
        <v>9.7457139569669712E-2</v>
      </c>
      <c r="Q516" s="2">
        <f t="shared" si="42"/>
        <v>1.8556701030927835E-2</v>
      </c>
      <c r="R516" t="str">
        <f t="shared" si="43"/>
        <v>Late</v>
      </c>
      <c r="S516" t="str">
        <f t="shared" si="44"/>
        <v>OK</v>
      </c>
    </row>
    <row r="517" spans="1:19" x14ac:dyDescent="0.25">
      <c r="A517" t="s">
        <v>542</v>
      </c>
      <c r="B517" t="s">
        <v>29</v>
      </c>
      <c r="C517" s="1">
        <v>45152</v>
      </c>
      <c r="D517" s="1">
        <v>45169</v>
      </c>
      <c r="E517" t="s">
        <v>21</v>
      </c>
      <c r="F517" t="s">
        <v>18</v>
      </c>
      <c r="G517">
        <v>457</v>
      </c>
      <c r="H517" s="3">
        <v>52.85</v>
      </c>
      <c r="I517" s="3">
        <v>50.34</v>
      </c>
      <c r="J517">
        <v>16</v>
      </c>
      <c r="K517" t="s">
        <v>15</v>
      </c>
      <c r="L517">
        <f t="shared" si="40"/>
        <v>17</v>
      </c>
      <c r="M517" s="3">
        <f>Table1[[#This Row],[Quantity]]*Table1[[#This Row],[Negotiated_Price]]</f>
        <v>23005.38</v>
      </c>
      <c r="N517" s="3">
        <f>Table1[[#This Row],[Quantity]]*Table1[[#This Row],[Unit_Price]]</f>
        <v>24152.45</v>
      </c>
      <c r="O517" s="3">
        <f>Table1[[#This Row],[ Original_Spend ]]-Table1[[#This Row],[ Total_Spend ]]</f>
        <v>1147.0699999999997</v>
      </c>
      <c r="P517" s="2">
        <f t="shared" si="41"/>
        <v>4.7492904446546816E-2</v>
      </c>
      <c r="Q517" s="2">
        <f t="shared" si="42"/>
        <v>3.5010940919037198E-2</v>
      </c>
      <c r="R517" t="str">
        <f t="shared" si="43"/>
        <v>Late</v>
      </c>
      <c r="S517" t="str">
        <f t="shared" si="44"/>
        <v>OK</v>
      </c>
    </row>
    <row r="518" spans="1:19" x14ac:dyDescent="0.25">
      <c r="A518" t="s">
        <v>543</v>
      </c>
      <c r="B518" t="s">
        <v>23</v>
      </c>
      <c r="C518" s="1">
        <v>44756</v>
      </c>
      <c r="D518" s="1">
        <v>44769</v>
      </c>
      <c r="E518" t="s">
        <v>13</v>
      </c>
      <c r="F518" t="s">
        <v>14</v>
      </c>
      <c r="G518">
        <v>574</v>
      </c>
      <c r="H518" s="3">
        <v>12.38</v>
      </c>
      <c r="I518" s="3">
        <v>11.47</v>
      </c>
      <c r="K518" t="s">
        <v>27</v>
      </c>
      <c r="L518">
        <f t="shared" si="40"/>
        <v>13</v>
      </c>
      <c r="M518" s="3">
        <f>Table1[[#This Row],[Quantity]]*Table1[[#This Row],[Negotiated_Price]]</f>
        <v>6583.7800000000007</v>
      </c>
      <c r="N518" s="3">
        <f>Table1[[#This Row],[Quantity]]*Table1[[#This Row],[Unit_Price]]</f>
        <v>7106.1200000000008</v>
      </c>
      <c r="O518" s="3">
        <f>Table1[[#This Row],[ Original_Spend ]]-Table1[[#This Row],[ Total_Spend ]]</f>
        <v>522.34000000000015</v>
      </c>
      <c r="P518" s="2">
        <f t="shared" si="41"/>
        <v>7.3505654281098565E-2</v>
      </c>
      <c r="Q518" s="2">
        <f t="shared" si="42"/>
        <v>0</v>
      </c>
      <c r="R518" t="str">
        <f t="shared" si="43"/>
        <v>Cancelled</v>
      </c>
      <c r="S518" t="str">
        <f t="shared" si="44"/>
        <v>Status-Date Conflict</v>
      </c>
    </row>
    <row r="519" spans="1:19" x14ac:dyDescent="0.25">
      <c r="A519" t="s">
        <v>544</v>
      </c>
      <c r="B519" t="s">
        <v>29</v>
      </c>
      <c r="C519" s="1">
        <v>44822</v>
      </c>
      <c r="D519" s="1">
        <v>44824</v>
      </c>
      <c r="E519" t="s">
        <v>13</v>
      </c>
      <c r="F519" t="s">
        <v>18</v>
      </c>
      <c r="G519">
        <v>877</v>
      </c>
      <c r="H519" s="3">
        <v>35.549999999999997</v>
      </c>
      <c r="I519" s="3">
        <v>34.69</v>
      </c>
      <c r="J519">
        <v>24</v>
      </c>
      <c r="K519" t="s">
        <v>15</v>
      </c>
      <c r="L519">
        <f t="shared" si="40"/>
        <v>2</v>
      </c>
      <c r="M519" s="3">
        <f>Table1[[#This Row],[Quantity]]*Table1[[#This Row],[Negotiated_Price]]</f>
        <v>30423.129999999997</v>
      </c>
      <c r="N519" s="3">
        <f>Table1[[#This Row],[Quantity]]*Table1[[#This Row],[Unit_Price]]</f>
        <v>31177.35</v>
      </c>
      <c r="O519" s="3">
        <f>Table1[[#This Row],[ Original_Spend ]]-Table1[[#This Row],[ Total_Spend ]]</f>
        <v>754.22000000000116</v>
      </c>
      <c r="P519" s="2">
        <f t="shared" si="41"/>
        <v>2.4191279887482459E-2</v>
      </c>
      <c r="Q519" s="2">
        <f t="shared" si="42"/>
        <v>2.7366020524515394E-2</v>
      </c>
      <c r="R519" t="str">
        <f t="shared" si="43"/>
        <v>On Time</v>
      </c>
      <c r="S519" t="str">
        <f t="shared" si="44"/>
        <v>OK</v>
      </c>
    </row>
    <row r="520" spans="1:19" x14ac:dyDescent="0.25">
      <c r="A520" t="s">
        <v>545</v>
      </c>
      <c r="B520" t="s">
        <v>12</v>
      </c>
      <c r="C520" s="1">
        <v>44607</v>
      </c>
      <c r="D520" s="1">
        <v>44619</v>
      </c>
      <c r="E520" t="s">
        <v>21</v>
      </c>
      <c r="F520" t="s">
        <v>18</v>
      </c>
      <c r="G520">
        <v>1579</v>
      </c>
      <c r="H520" s="3">
        <v>59.04</v>
      </c>
      <c r="I520" s="3">
        <v>50.95</v>
      </c>
      <c r="J520">
        <v>29</v>
      </c>
      <c r="K520" t="s">
        <v>15</v>
      </c>
      <c r="L520">
        <f t="shared" si="40"/>
        <v>12</v>
      </c>
      <c r="M520" s="3">
        <f>Table1[[#This Row],[Quantity]]*Table1[[#This Row],[Negotiated_Price]]</f>
        <v>80450.05</v>
      </c>
      <c r="N520" s="3">
        <f>Table1[[#This Row],[Quantity]]*Table1[[#This Row],[Unit_Price]]</f>
        <v>93224.16</v>
      </c>
      <c r="O520" s="3">
        <f>Table1[[#This Row],[ Original_Spend ]]-Table1[[#This Row],[ Total_Spend ]]</f>
        <v>12774.11</v>
      </c>
      <c r="P520" s="2">
        <f t="shared" si="41"/>
        <v>0.13702574525745256</v>
      </c>
      <c r="Q520" s="2">
        <f t="shared" si="42"/>
        <v>1.8366054464851171E-2</v>
      </c>
      <c r="R520" t="str">
        <f t="shared" si="43"/>
        <v>Late</v>
      </c>
      <c r="S520" t="str">
        <f t="shared" si="44"/>
        <v>OK</v>
      </c>
    </row>
    <row r="521" spans="1:19" x14ac:dyDescent="0.25">
      <c r="A521" t="s">
        <v>546</v>
      </c>
      <c r="B521" t="s">
        <v>17</v>
      </c>
      <c r="C521" s="1">
        <v>45287</v>
      </c>
      <c r="D521" s="1">
        <v>45288</v>
      </c>
      <c r="E521" t="s">
        <v>26</v>
      </c>
      <c r="F521" t="s">
        <v>18</v>
      </c>
      <c r="G521">
        <v>952</v>
      </c>
      <c r="H521" s="3">
        <v>74.72</v>
      </c>
      <c r="I521" s="3">
        <v>69.73</v>
      </c>
      <c r="K521" t="s">
        <v>15</v>
      </c>
      <c r="L521">
        <f t="shared" si="40"/>
        <v>1</v>
      </c>
      <c r="M521" s="3">
        <f>Table1[[#This Row],[Quantity]]*Table1[[#This Row],[Negotiated_Price]]</f>
        <v>66382.960000000006</v>
      </c>
      <c r="N521" s="3">
        <f>Table1[[#This Row],[Quantity]]*Table1[[#This Row],[Unit_Price]]</f>
        <v>71133.440000000002</v>
      </c>
      <c r="O521" s="3">
        <f>Table1[[#This Row],[ Original_Spend ]]-Table1[[#This Row],[ Total_Spend ]]</f>
        <v>4750.4799999999959</v>
      </c>
      <c r="P521" s="2">
        <f t="shared" si="41"/>
        <v>6.6782655246252612E-2</v>
      </c>
      <c r="Q521" s="2">
        <f t="shared" si="42"/>
        <v>0</v>
      </c>
      <c r="R521" t="str">
        <f t="shared" si="43"/>
        <v>On Time</v>
      </c>
      <c r="S521" t="str">
        <f t="shared" si="44"/>
        <v>OK</v>
      </c>
    </row>
    <row r="522" spans="1:19" x14ac:dyDescent="0.25">
      <c r="A522" t="s">
        <v>547</v>
      </c>
      <c r="B522" t="s">
        <v>23</v>
      </c>
      <c r="C522" s="1">
        <v>45008</v>
      </c>
      <c r="D522" s="1">
        <v>45011</v>
      </c>
      <c r="E522" t="s">
        <v>26</v>
      </c>
      <c r="F522" t="s">
        <v>35</v>
      </c>
      <c r="G522">
        <v>1898</v>
      </c>
      <c r="H522" s="3">
        <v>35.53</v>
      </c>
      <c r="I522" s="3">
        <v>33.25</v>
      </c>
      <c r="J522">
        <v>187</v>
      </c>
      <c r="K522" t="s">
        <v>15</v>
      </c>
      <c r="L522">
        <f t="shared" si="40"/>
        <v>3</v>
      </c>
      <c r="M522" s="3">
        <f>Table1[[#This Row],[Quantity]]*Table1[[#This Row],[Negotiated_Price]]</f>
        <v>63108.5</v>
      </c>
      <c r="N522" s="3">
        <f>Table1[[#This Row],[Quantity]]*Table1[[#This Row],[Unit_Price]]</f>
        <v>67435.94</v>
      </c>
      <c r="O522" s="3">
        <f>Table1[[#This Row],[ Original_Spend ]]-Table1[[#This Row],[ Total_Spend ]]</f>
        <v>4327.4400000000023</v>
      </c>
      <c r="P522" s="2">
        <f t="shared" si="41"/>
        <v>6.4171122994652441E-2</v>
      </c>
      <c r="Q522" s="2">
        <f t="shared" si="42"/>
        <v>9.8524762908324556E-2</v>
      </c>
      <c r="R522" t="str">
        <f t="shared" si="43"/>
        <v>Pending</v>
      </c>
      <c r="S522" t="str">
        <f t="shared" si="44"/>
        <v>Status-Date Conflict</v>
      </c>
    </row>
    <row r="523" spans="1:19" x14ac:dyDescent="0.25">
      <c r="A523" t="s">
        <v>548</v>
      </c>
      <c r="B523" t="s">
        <v>17</v>
      </c>
      <c r="C523" s="1">
        <v>44563</v>
      </c>
      <c r="D523" s="1">
        <v>44567</v>
      </c>
      <c r="E523" t="s">
        <v>24</v>
      </c>
      <c r="F523" t="s">
        <v>18</v>
      </c>
      <c r="G523">
        <v>85</v>
      </c>
      <c r="H523" s="3">
        <v>22.54</v>
      </c>
      <c r="I523" s="3">
        <v>20.68</v>
      </c>
      <c r="J523">
        <v>6</v>
      </c>
      <c r="K523" t="s">
        <v>15</v>
      </c>
      <c r="L523">
        <f t="shared" si="40"/>
        <v>4</v>
      </c>
      <c r="M523" s="3">
        <f>Table1[[#This Row],[Quantity]]*Table1[[#This Row],[Negotiated_Price]]</f>
        <v>1757.8</v>
      </c>
      <c r="N523" s="3">
        <f>Table1[[#This Row],[Quantity]]*Table1[[#This Row],[Unit_Price]]</f>
        <v>1915.8999999999999</v>
      </c>
      <c r="O523" s="3">
        <f>Table1[[#This Row],[ Original_Spend ]]-Table1[[#This Row],[ Total_Spend ]]</f>
        <v>158.09999999999991</v>
      </c>
      <c r="P523" s="2">
        <f t="shared" si="41"/>
        <v>8.2519964507542107E-2</v>
      </c>
      <c r="Q523" s="2">
        <f t="shared" si="42"/>
        <v>7.0588235294117646E-2</v>
      </c>
      <c r="R523" t="str">
        <f t="shared" si="43"/>
        <v>On Time</v>
      </c>
      <c r="S523" t="str">
        <f t="shared" si="44"/>
        <v>OK</v>
      </c>
    </row>
    <row r="524" spans="1:19" x14ac:dyDescent="0.25">
      <c r="A524" t="s">
        <v>549</v>
      </c>
      <c r="B524" t="s">
        <v>20</v>
      </c>
      <c r="C524" s="1">
        <v>45094</v>
      </c>
      <c r="D524" s="1">
        <v>45105</v>
      </c>
      <c r="E524" t="s">
        <v>24</v>
      </c>
      <c r="F524" t="s">
        <v>35</v>
      </c>
      <c r="G524">
        <v>734</v>
      </c>
      <c r="H524" s="3">
        <v>92.38</v>
      </c>
      <c r="I524" s="3">
        <v>78.92</v>
      </c>
      <c r="J524">
        <v>34</v>
      </c>
      <c r="K524" t="s">
        <v>27</v>
      </c>
      <c r="L524">
        <f t="shared" si="40"/>
        <v>11</v>
      </c>
      <c r="M524" s="3">
        <f>Table1[[#This Row],[Quantity]]*Table1[[#This Row],[Negotiated_Price]]</f>
        <v>57927.28</v>
      </c>
      <c r="N524" s="3">
        <f>Table1[[#This Row],[Quantity]]*Table1[[#This Row],[Unit_Price]]</f>
        <v>67806.92</v>
      </c>
      <c r="O524" s="3">
        <f>Table1[[#This Row],[ Original_Spend ]]-Table1[[#This Row],[ Total_Spend ]]</f>
        <v>9879.64</v>
      </c>
      <c r="P524" s="2">
        <f t="shared" si="41"/>
        <v>0.14570253301580427</v>
      </c>
      <c r="Q524" s="2">
        <f t="shared" si="42"/>
        <v>4.632152588555858E-2</v>
      </c>
      <c r="R524" t="str">
        <f t="shared" si="43"/>
        <v>Pending</v>
      </c>
      <c r="S524" t="str">
        <f t="shared" si="44"/>
        <v>Status-Date Conflict</v>
      </c>
    </row>
    <row r="525" spans="1:19" x14ac:dyDescent="0.25">
      <c r="A525" t="s">
        <v>550</v>
      </c>
      <c r="B525" t="s">
        <v>12</v>
      </c>
      <c r="C525" s="1">
        <v>45113</v>
      </c>
      <c r="D525" s="1">
        <v>45125</v>
      </c>
      <c r="E525" t="s">
        <v>13</v>
      </c>
      <c r="F525" t="s">
        <v>18</v>
      </c>
      <c r="G525">
        <v>69</v>
      </c>
      <c r="H525" s="3">
        <v>107.47</v>
      </c>
      <c r="I525" s="3">
        <v>105.53</v>
      </c>
      <c r="K525" t="s">
        <v>15</v>
      </c>
      <c r="L525">
        <f t="shared" si="40"/>
        <v>12</v>
      </c>
      <c r="M525" s="3">
        <f>Table1[[#This Row],[Quantity]]*Table1[[#This Row],[Negotiated_Price]]</f>
        <v>7281.57</v>
      </c>
      <c r="N525" s="3">
        <f>Table1[[#This Row],[Quantity]]*Table1[[#This Row],[Unit_Price]]</f>
        <v>7415.43</v>
      </c>
      <c r="O525" s="3">
        <f>Table1[[#This Row],[ Original_Spend ]]-Table1[[#This Row],[ Total_Spend ]]</f>
        <v>133.86000000000058</v>
      </c>
      <c r="P525" s="2">
        <f t="shared" si="41"/>
        <v>1.8051549269563677E-2</v>
      </c>
      <c r="Q525" s="2">
        <f t="shared" si="42"/>
        <v>0</v>
      </c>
      <c r="R525" t="str">
        <f t="shared" si="43"/>
        <v>Late</v>
      </c>
      <c r="S525" t="str">
        <f t="shared" si="44"/>
        <v>OK</v>
      </c>
    </row>
    <row r="526" spans="1:19" x14ac:dyDescent="0.25">
      <c r="A526" t="s">
        <v>551</v>
      </c>
      <c r="B526" t="s">
        <v>17</v>
      </c>
      <c r="C526" s="1">
        <v>45265</v>
      </c>
      <c r="D526" s="1">
        <v>45271</v>
      </c>
      <c r="E526" t="s">
        <v>24</v>
      </c>
      <c r="F526" t="s">
        <v>18</v>
      </c>
      <c r="G526">
        <v>370</v>
      </c>
      <c r="H526" s="3">
        <v>63.9</v>
      </c>
      <c r="I526" s="3">
        <v>55.79</v>
      </c>
      <c r="J526">
        <v>59</v>
      </c>
      <c r="K526" t="s">
        <v>15</v>
      </c>
      <c r="L526">
        <f t="shared" si="40"/>
        <v>6</v>
      </c>
      <c r="M526" s="3">
        <f>Table1[[#This Row],[Quantity]]*Table1[[#This Row],[Negotiated_Price]]</f>
        <v>20642.3</v>
      </c>
      <c r="N526" s="3">
        <f>Table1[[#This Row],[Quantity]]*Table1[[#This Row],[Unit_Price]]</f>
        <v>23643</v>
      </c>
      <c r="O526" s="3">
        <f>Table1[[#This Row],[ Original_Spend ]]-Table1[[#This Row],[ Total_Spend ]]</f>
        <v>3000.7000000000007</v>
      </c>
      <c r="P526" s="2">
        <f t="shared" si="41"/>
        <v>0.12691705790297342</v>
      </c>
      <c r="Q526" s="2">
        <f t="shared" si="42"/>
        <v>0.15945945945945947</v>
      </c>
      <c r="R526" t="str">
        <f t="shared" si="43"/>
        <v>On Time</v>
      </c>
      <c r="S526" t="str">
        <f t="shared" si="44"/>
        <v>OK</v>
      </c>
    </row>
    <row r="527" spans="1:19" x14ac:dyDescent="0.25">
      <c r="A527" t="s">
        <v>552</v>
      </c>
      <c r="B527" t="s">
        <v>17</v>
      </c>
      <c r="C527" s="1">
        <v>45248</v>
      </c>
      <c r="D527" s="1">
        <v>45263</v>
      </c>
      <c r="E527" t="s">
        <v>21</v>
      </c>
      <c r="F527" t="s">
        <v>18</v>
      </c>
      <c r="G527">
        <v>1849</v>
      </c>
      <c r="H527" s="3">
        <v>28.25</v>
      </c>
      <c r="I527" s="3">
        <v>27.53</v>
      </c>
      <c r="J527">
        <v>271</v>
      </c>
      <c r="K527" t="s">
        <v>15</v>
      </c>
      <c r="L527">
        <f t="shared" si="40"/>
        <v>15</v>
      </c>
      <c r="M527" s="3">
        <f>Table1[[#This Row],[Quantity]]*Table1[[#This Row],[Negotiated_Price]]</f>
        <v>50902.97</v>
      </c>
      <c r="N527" s="3">
        <f>Table1[[#This Row],[Quantity]]*Table1[[#This Row],[Unit_Price]]</f>
        <v>52234.25</v>
      </c>
      <c r="O527" s="3">
        <f>Table1[[#This Row],[ Original_Spend ]]-Table1[[#This Row],[ Total_Spend ]]</f>
        <v>1331.2799999999988</v>
      </c>
      <c r="P527" s="2">
        <f t="shared" si="41"/>
        <v>2.5486725663716792E-2</v>
      </c>
      <c r="Q527" s="2">
        <f t="shared" si="42"/>
        <v>0.14656571119524067</v>
      </c>
      <c r="R527" t="str">
        <f t="shared" si="43"/>
        <v>Late</v>
      </c>
      <c r="S527" t="str">
        <f t="shared" si="44"/>
        <v>OK</v>
      </c>
    </row>
    <row r="528" spans="1:19" x14ac:dyDescent="0.25">
      <c r="A528" t="s">
        <v>553</v>
      </c>
      <c r="B528" t="s">
        <v>23</v>
      </c>
      <c r="C528" s="1">
        <v>44763</v>
      </c>
      <c r="E528" t="s">
        <v>24</v>
      </c>
      <c r="F528" t="s">
        <v>18</v>
      </c>
      <c r="G528">
        <v>561</v>
      </c>
      <c r="H528" s="3">
        <v>35.54</v>
      </c>
      <c r="I528" s="3">
        <v>30.99</v>
      </c>
      <c r="J528">
        <v>68</v>
      </c>
      <c r="K528" t="s">
        <v>27</v>
      </c>
      <c r="L528" t="str">
        <f t="shared" si="40"/>
        <v/>
      </c>
      <c r="M528" s="3">
        <f>Table1[[#This Row],[Quantity]]*Table1[[#This Row],[Negotiated_Price]]</f>
        <v>17385.39</v>
      </c>
      <c r="N528" s="3">
        <f>Table1[[#This Row],[Quantity]]*Table1[[#This Row],[Unit_Price]]</f>
        <v>19937.939999999999</v>
      </c>
      <c r="O528" s="3">
        <f>Table1[[#This Row],[ Original_Spend ]]-Table1[[#This Row],[ Total_Spend ]]</f>
        <v>2552.5499999999993</v>
      </c>
      <c r="P528" s="2">
        <f t="shared" si="41"/>
        <v>0.12802476083286435</v>
      </c>
      <c r="Q528" s="2">
        <f t="shared" si="42"/>
        <v>0.12121212121212122</v>
      </c>
      <c r="R528" t="str">
        <f t="shared" si="43"/>
        <v>Missing Delivery Date</v>
      </c>
      <c r="S528" t="str">
        <f t="shared" si="44"/>
        <v>Missing Delivery Date</v>
      </c>
    </row>
    <row r="529" spans="1:19" x14ac:dyDescent="0.25">
      <c r="A529" t="s">
        <v>554</v>
      </c>
      <c r="B529" t="s">
        <v>20</v>
      </c>
      <c r="C529" s="1">
        <v>44934</v>
      </c>
      <c r="D529" s="1">
        <v>44940</v>
      </c>
      <c r="E529" t="s">
        <v>39</v>
      </c>
      <c r="F529" t="s">
        <v>18</v>
      </c>
      <c r="G529">
        <v>449</v>
      </c>
      <c r="H529" s="3">
        <v>12.35</v>
      </c>
      <c r="I529" s="3">
        <v>10.67</v>
      </c>
      <c r="J529">
        <v>29</v>
      </c>
      <c r="K529" t="s">
        <v>15</v>
      </c>
      <c r="L529">
        <f t="shared" si="40"/>
        <v>6</v>
      </c>
      <c r="M529" s="3">
        <f>Table1[[#This Row],[Quantity]]*Table1[[#This Row],[Negotiated_Price]]</f>
        <v>4790.83</v>
      </c>
      <c r="N529" s="3">
        <f>Table1[[#This Row],[Quantity]]*Table1[[#This Row],[Unit_Price]]</f>
        <v>5545.15</v>
      </c>
      <c r="O529" s="3">
        <f>Table1[[#This Row],[ Original_Spend ]]-Table1[[#This Row],[ Total_Spend ]]</f>
        <v>754.31999999999971</v>
      </c>
      <c r="P529" s="2">
        <f t="shared" si="41"/>
        <v>0.13603238866396758</v>
      </c>
      <c r="Q529" s="2">
        <f t="shared" si="42"/>
        <v>6.4587973273942098E-2</v>
      </c>
      <c r="R529" t="str">
        <f t="shared" si="43"/>
        <v>On Time</v>
      </c>
      <c r="S529" t="str">
        <f t="shared" si="44"/>
        <v>OK</v>
      </c>
    </row>
    <row r="530" spans="1:19" x14ac:dyDescent="0.25">
      <c r="A530" t="s">
        <v>555</v>
      </c>
      <c r="B530" t="s">
        <v>23</v>
      </c>
      <c r="C530" s="1">
        <v>45003</v>
      </c>
      <c r="D530" s="1">
        <v>45006</v>
      </c>
      <c r="E530" t="s">
        <v>13</v>
      </c>
      <c r="F530" t="s">
        <v>18</v>
      </c>
      <c r="G530">
        <v>703</v>
      </c>
      <c r="H530" s="3">
        <v>98.75</v>
      </c>
      <c r="I530" s="3">
        <v>86.78</v>
      </c>
      <c r="J530">
        <v>59</v>
      </c>
      <c r="K530" t="s">
        <v>15</v>
      </c>
      <c r="L530">
        <f t="shared" si="40"/>
        <v>3</v>
      </c>
      <c r="M530" s="3">
        <f>Table1[[#This Row],[Quantity]]*Table1[[#This Row],[Negotiated_Price]]</f>
        <v>61006.340000000004</v>
      </c>
      <c r="N530" s="3">
        <f>Table1[[#This Row],[Quantity]]*Table1[[#This Row],[Unit_Price]]</f>
        <v>69421.25</v>
      </c>
      <c r="O530" s="3">
        <f>Table1[[#This Row],[ Original_Spend ]]-Table1[[#This Row],[ Total_Spend ]]</f>
        <v>8414.9099999999962</v>
      </c>
      <c r="P530" s="2">
        <f t="shared" si="41"/>
        <v>0.12121518987341767</v>
      </c>
      <c r="Q530" s="2">
        <f t="shared" si="42"/>
        <v>8.392603129445235E-2</v>
      </c>
      <c r="R530" t="str">
        <f t="shared" si="43"/>
        <v>On Time</v>
      </c>
      <c r="S530" t="str">
        <f t="shared" si="44"/>
        <v>OK</v>
      </c>
    </row>
    <row r="531" spans="1:19" x14ac:dyDescent="0.25">
      <c r="A531" t="s">
        <v>556</v>
      </c>
      <c r="B531" t="s">
        <v>20</v>
      </c>
      <c r="C531" s="1">
        <v>44633</v>
      </c>
      <c r="D531" s="1">
        <v>44648</v>
      </c>
      <c r="E531" t="s">
        <v>39</v>
      </c>
      <c r="F531" t="s">
        <v>18</v>
      </c>
      <c r="G531">
        <v>1021</v>
      </c>
      <c r="H531" s="3">
        <v>20.8</v>
      </c>
      <c r="I531" s="3">
        <v>18.23</v>
      </c>
      <c r="J531">
        <v>37</v>
      </c>
      <c r="K531" t="s">
        <v>15</v>
      </c>
      <c r="L531">
        <f t="shared" si="40"/>
        <v>15</v>
      </c>
      <c r="M531" s="3">
        <f>Table1[[#This Row],[Quantity]]*Table1[[#This Row],[Negotiated_Price]]</f>
        <v>18612.830000000002</v>
      </c>
      <c r="N531" s="3">
        <f>Table1[[#This Row],[Quantity]]*Table1[[#This Row],[Unit_Price]]</f>
        <v>21236.799999999999</v>
      </c>
      <c r="O531" s="3">
        <f>Table1[[#This Row],[ Original_Spend ]]-Table1[[#This Row],[ Total_Spend ]]</f>
        <v>2623.9699999999975</v>
      </c>
      <c r="P531" s="2">
        <f t="shared" si="41"/>
        <v>0.1235576923076922</v>
      </c>
      <c r="Q531" s="2">
        <f t="shared" si="42"/>
        <v>3.6238981390793339E-2</v>
      </c>
      <c r="R531" t="str">
        <f t="shared" si="43"/>
        <v>Late</v>
      </c>
      <c r="S531" t="str">
        <f t="shared" si="44"/>
        <v>OK</v>
      </c>
    </row>
    <row r="532" spans="1:19" x14ac:dyDescent="0.25">
      <c r="A532" t="s">
        <v>557</v>
      </c>
      <c r="B532" t="s">
        <v>23</v>
      </c>
      <c r="C532" s="1">
        <v>45242</v>
      </c>
      <c r="D532" s="1">
        <v>45249</v>
      </c>
      <c r="E532" t="s">
        <v>13</v>
      </c>
      <c r="F532" t="s">
        <v>18</v>
      </c>
      <c r="G532">
        <v>1956</v>
      </c>
      <c r="H532" s="3">
        <v>68.69</v>
      </c>
      <c r="I532" s="3">
        <v>65.09</v>
      </c>
      <c r="K532" t="s">
        <v>15</v>
      </c>
      <c r="L532">
        <f t="shared" si="40"/>
        <v>7</v>
      </c>
      <c r="M532" s="3">
        <f>Table1[[#This Row],[Quantity]]*Table1[[#This Row],[Negotiated_Price]]</f>
        <v>127316.04000000001</v>
      </c>
      <c r="N532" s="3">
        <f>Table1[[#This Row],[Quantity]]*Table1[[#This Row],[Unit_Price]]</f>
        <v>134357.63999999998</v>
      </c>
      <c r="O532" s="3">
        <f>Table1[[#This Row],[ Original_Spend ]]-Table1[[#This Row],[ Total_Spend ]]</f>
        <v>7041.5999999999767</v>
      </c>
      <c r="P532" s="2">
        <f t="shared" si="41"/>
        <v>5.2409375454942328E-2</v>
      </c>
      <c r="Q532" s="2">
        <f t="shared" si="42"/>
        <v>0</v>
      </c>
      <c r="R532" t="str">
        <f t="shared" si="43"/>
        <v>On Time</v>
      </c>
      <c r="S532" t="str">
        <f t="shared" si="44"/>
        <v>OK</v>
      </c>
    </row>
    <row r="533" spans="1:19" x14ac:dyDescent="0.25">
      <c r="A533" t="s">
        <v>558</v>
      </c>
      <c r="B533" t="s">
        <v>17</v>
      </c>
      <c r="C533" s="1">
        <v>44900</v>
      </c>
      <c r="D533" s="1">
        <v>44907</v>
      </c>
      <c r="E533" t="s">
        <v>13</v>
      </c>
      <c r="F533" t="s">
        <v>33</v>
      </c>
      <c r="G533">
        <v>520</v>
      </c>
      <c r="H533" s="3">
        <v>36.57</v>
      </c>
      <c r="I533" s="3">
        <v>34.78</v>
      </c>
      <c r="J533">
        <v>67</v>
      </c>
      <c r="K533" t="s">
        <v>27</v>
      </c>
      <c r="L533">
        <f t="shared" si="40"/>
        <v>7</v>
      </c>
      <c r="M533" s="3">
        <f>Table1[[#This Row],[Quantity]]*Table1[[#This Row],[Negotiated_Price]]</f>
        <v>18085.600000000002</v>
      </c>
      <c r="N533" s="3">
        <f>Table1[[#This Row],[Quantity]]*Table1[[#This Row],[Unit_Price]]</f>
        <v>19016.400000000001</v>
      </c>
      <c r="O533" s="3">
        <f>Table1[[#This Row],[ Original_Spend ]]-Table1[[#This Row],[ Total_Spend ]]</f>
        <v>930.79999999999927</v>
      </c>
      <c r="P533" s="2">
        <f t="shared" si="41"/>
        <v>4.8947224500957023E-2</v>
      </c>
      <c r="Q533" s="2">
        <f t="shared" si="42"/>
        <v>0.12884615384615383</v>
      </c>
      <c r="R533" t="str">
        <f t="shared" si="43"/>
        <v>Partially Delivered</v>
      </c>
      <c r="S533" t="str">
        <f t="shared" si="44"/>
        <v>Status-Date Conflict</v>
      </c>
    </row>
    <row r="534" spans="1:19" x14ac:dyDescent="0.25">
      <c r="A534" t="s">
        <v>559</v>
      </c>
      <c r="B534" t="s">
        <v>17</v>
      </c>
      <c r="C534" s="1">
        <v>45200</v>
      </c>
      <c r="D534" s="1">
        <v>45211</v>
      </c>
      <c r="E534" t="s">
        <v>21</v>
      </c>
      <c r="F534" t="s">
        <v>18</v>
      </c>
      <c r="G534">
        <v>1216</v>
      </c>
      <c r="H534" s="3">
        <v>66.16</v>
      </c>
      <c r="I534" s="3">
        <v>63</v>
      </c>
      <c r="J534">
        <v>179</v>
      </c>
      <c r="K534" t="s">
        <v>27</v>
      </c>
      <c r="L534">
        <f t="shared" si="40"/>
        <v>11</v>
      </c>
      <c r="M534" s="3">
        <f>Table1[[#This Row],[Quantity]]*Table1[[#This Row],[Negotiated_Price]]</f>
        <v>76608</v>
      </c>
      <c r="N534" s="3">
        <f>Table1[[#This Row],[Quantity]]*Table1[[#This Row],[Unit_Price]]</f>
        <v>80450.559999999998</v>
      </c>
      <c r="O534" s="3">
        <f>Table1[[#This Row],[ Original_Spend ]]-Table1[[#This Row],[ Total_Spend ]]</f>
        <v>3842.5599999999977</v>
      </c>
      <c r="P534" s="2">
        <f t="shared" si="41"/>
        <v>4.7762998790810127E-2</v>
      </c>
      <c r="Q534" s="2">
        <f t="shared" si="42"/>
        <v>0.14720394736842105</v>
      </c>
      <c r="R534" t="str">
        <f t="shared" si="43"/>
        <v>Late</v>
      </c>
      <c r="S534" t="str">
        <f t="shared" si="44"/>
        <v>OK</v>
      </c>
    </row>
    <row r="535" spans="1:19" x14ac:dyDescent="0.25">
      <c r="A535" t="s">
        <v>560</v>
      </c>
      <c r="B535" t="s">
        <v>12</v>
      </c>
      <c r="C535" s="1">
        <v>44883</v>
      </c>
      <c r="E535" t="s">
        <v>26</v>
      </c>
      <c r="F535" t="s">
        <v>18</v>
      </c>
      <c r="G535">
        <v>1165</v>
      </c>
      <c r="H535" s="3">
        <v>72.06</v>
      </c>
      <c r="I535" s="3">
        <v>63.93</v>
      </c>
      <c r="K535" t="s">
        <v>15</v>
      </c>
      <c r="L535" t="str">
        <f t="shared" si="40"/>
        <v/>
      </c>
      <c r="M535" s="3">
        <f>Table1[[#This Row],[Quantity]]*Table1[[#This Row],[Negotiated_Price]]</f>
        <v>74478.45</v>
      </c>
      <c r="N535" s="3">
        <f>Table1[[#This Row],[Quantity]]*Table1[[#This Row],[Unit_Price]]</f>
        <v>83949.900000000009</v>
      </c>
      <c r="O535" s="3">
        <f>Table1[[#This Row],[ Original_Spend ]]-Table1[[#This Row],[ Total_Spend ]]</f>
        <v>9471.4500000000116</v>
      </c>
      <c r="P535" s="2">
        <f t="shared" si="41"/>
        <v>0.11282264779350554</v>
      </c>
      <c r="Q535" s="2">
        <f t="shared" si="42"/>
        <v>0</v>
      </c>
      <c r="R535" t="str">
        <f t="shared" si="43"/>
        <v>Missing Delivery Date</v>
      </c>
      <c r="S535" t="str">
        <f t="shared" si="44"/>
        <v>Missing Delivery Date</v>
      </c>
    </row>
    <row r="536" spans="1:19" x14ac:dyDescent="0.25">
      <c r="A536" t="s">
        <v>561</v>
      </c>
      <c r="B536" t="s">
        <v>17</v>
      </c>
      <c r="C536" s="1">
        <v>45241</v>
      </c>
      <c r="D536" s="1">
        <v>45259</v>
      </c>
      <c r="E536" t="s">
        <v>24</v>
      </c>
      <c r="F536" t="s">
        <v>35</v>
      </c>
      <c r="G536">
        <v>1427</v>
      </c>
      <c r="H536" s="3">
        <v>93.99</v>
      </c>
      <c r="I536" s="3">
        <v>83.6</v>
      </c>
      <c r="J536">
        <v>213</v>
      </c>
      <c r="K536" t="s">
        <v>15</v>
      </c>
      <c r="L536">
        <f t="shared" si="40"/>
        <v>18</v>
      </c>
      <c r="M536" s="3">
        <f>Table1[[#This Row],[Quantity]]*Table1[[#This Row],[Negotiated_Price]]</f>
        <v>119297.2</v>
      </c>
      <c r="N536" s="3">
        <f>Table1[[#This Row],[Quantity]]*Table1[[#This Row],[Unit_Price]]</f>
        <v>134123.72999999998</v>
      </c>
      <c r="O536" s="3">
        <f>Table1[[#This Row],[ Original_Spend ]]-Table1[[#This Row],[ Total_Spend ]]</f>
        <v>14826.529999999984</v>
      </c>
      <c r="P536" s="2">
        <f t="shared" si="41"/>
        <v>0.11054367485902745</v>
      </c>
      <c r="Q536" s="2">
        <f t="shared" si="42"/>
        <v>0.14926419060967064</v>
      </c>
      <c r="R536" t="str">
        <f t="shared" si="43"/>
        <v>Pending</v>
      </c>
      <c r="S536" t="str">
        <f t="shared" si="44"/>
        <v>Status-Date Conflict</v>
      </c>
    </row>
    <row r="537" spans="1:19" x14ac:dyDescent="0.25">
      <c r="A537" t="s">
        <v>562</v>
      </c>
      <c r="B537" t="s">
        <v>29</v>
      </c>
      <c r="C537" s="1">
        <v>44689</v>
      </c>
      <c r="D537" s="1">
        <v>44691</v>
      </c>
      <c r="E537" t="s">
        <v>39</v>
      </c>
      <c r="F537" t="s">
        <v>18</v>
      </c>
      <c r="G537">
        <v>883</v>
      </c>
      <c r="H537" s="3">
        <v>29.15</v>
      </c>
      <c r="I537" s="3">
        <v>25.75</v>
      </c>
      <c r="J537">
        <v>14</v>
      </c>
      <c r="K537" t="s">
        <v>15</v>
      </c>
      <c r="L537">
        <f t="shared" si="40"/>
        <v>2</v>
      </c>
      <c r="M537" s="3">
        <f>Table1[[#This Row],[Quantity]]*Table1[[#This Row],[Negotiated_Price]]</f>
        <v>22737.25</v>
      </c>
      <c r="N537" s="3">
        <f>Table1[[#This Row],[Quantity]]*Table1[[#This Row],[Unit_Price]]</f>
        <v>25739.449999999997</v>
      </c>
      <c r="O537" s="3">
        <f>Table1[[#This Row],[ Original_Spend ]]-Table1[[#This Row],[ Total_Spend ]]</f>
        <v>3002.1999999999971</v>
      </c>
      <c r="P537" s="2">
        <f t="shared" si="41"/>
        <v>0.11663807890222974</v>
      </c>
      <c r="Q537" s="2">
        <f t="shared" si="42"/>
        <v>1.5855039637599093E-2</v>
      </c>
      <c r="R537" t="str">
        <f t="shared" si="43"/>
        <v>On Time</v>
      </c>
      <c r="S537" t="str">
        <f t="shared" si="44"/>
        <v>OK</v>
      </c>
    </row>
    <row r="538" spans="1:19" x14ac:dyDescent="0.25">
      <c r="A538" t="s">
        <v>563</v>
      </c>
      <c r="B538" t="s">
        <v>17</v>
      </c>
      <c r="C538" s="1">
        <v>44869</v>
      </c>
      <c r="D538" s="1">
        <v>44876</v>
      </c>
      <c r="E538" t="s">
        <v>24</v>
      </c>
      <c r="F538" t="s">
        <v>33</v>
      </c>
      <c r="G538">
        <v>1873</v>
      </c>
      <c r="H538" s="3">
        <v>11.54</v>
      </c>
      <c r="I538" s="3">
        <v>9.89</v>
      </c>
      <c r="J538">
        <v>284</v>
      </c>
      <c r="K538" t="s">
        <v>27</v>
      </c>
      <c r="L538">
        <f t="shared" si="40"/>
        <v>7</v>
      </c>
      <c r="M538" s="3">
        <f>Table1[[#This Row],[Quantity]]*Table1[[#This Row],[Negotiated_Price]]</f>
        <v>18523.97</v>
      </c>
      <c r="N538" s="3">
        <f>Table1[[#This Row],[Quantity]]*Table1[[#This Row],[Unit_Price]]</f>
        <v>21614.42</v>
      </c>
      <c r="O538" s="3">
        <f>Table1[[#This Row],[ Original_Spend ]]-Table1[[#This Row],[ Total_Spend ]]</f>
        <v>3090.4499999999971</v>
      </c>
      <c r="P538" s="2">
        <f t="shared" si="41"/>
        <v>0.14298093587521651</v>
      </c>
      <c r="Q538" s="2">
        <f t="shared" si="42"/>
        <v>0.15162840363053925</v>
      </c>
      <c r="R538" t="str">
        <f t="shared" si="43"/>
        <v>Partially Delivered</v>
      </c>
      <c r="S538" t="str">
        <f t="shared" si="44"/>
        <v>Status-Date Conflict</v>
      </c>
    </row>
    <row r="539" spans="1:19" x14ac:dyDescent="0.25">
      <c r="A539" t="s">
        <v>564</v>
      </c>
      <c r="B539" t="s">
        <v>29</v>
      </c>
      <c r="C539" s="1">
        <v>45081</v>
      </c>
      <c r="D539" s="1">
        <v>45083</v>
      </c>
      <c r="E539" t="s">
        <v>13</v>
      </c>
      <c r="F539" t="s">
        <v>18</v>
      </c>
      <c r="G539">
        <v>776</v>
      </c>
      <c r="H539" s="3">
        <v>24.22</v>
      </c>
      <c r="I539" s="3">
        <v>22.53</v>
      </c>
      <c r="J539">
        <v>27</v>
      </c>
      <c r="K539" t="s">
        <v>15</v>
      </c>
      <c r="L539">
        <f t="shared" si="40"/>
        <v>2</v>
      </c>
      <c r="M539" s="3">
        <f>Table1[[#This Row],[Quantity]]*Table1[[#This Row],[Negotiated_Price]]</f>
        <v>17483.280000000002</v>
      </c>
      <c r="N539" s="3">
        <f>Table1[[#This Row],[Quantity]]*Table1[[#This Row],[Unit_Price]]</f>
        <v>18794.719999999998</v>
      </c>
      <c r="O539" s="3">
        <f>Table1[[#This Row],[ Original_Spend ]]-Table1[[#This Row],[ Total_Spend ]]</f>
        <v>1311.4399999999951</v>
      </c>
      <c r="P539" s="2">
        <f t="shared" si="41"/>
        <v>6.9777043765482813E-2</v>
      </c>
      <c r="Q539" s="2">
        <f t="shared" si="42"/>
        <v>3.4793814432989692E-2</v>
      </c>
      <c r="R539" t="str">
        <f t="shared" si="43"/>
        <v>On Time</v>
      </c>
      <c r="S539" t="str">
        <f t="shared" si="44"/>
        <v>OK</v>
      </c>
    </row>
    <row r="540" spans="1:19" x14ac:dyDescent="0.25">
      <c r="A540" t="s">
        <v>565</v>
      </c>
      <c r="B540" t="s">
        <v>17</v>
      </c>
      <c r="C540" s="1">
        <v>44878</v>
      </c>
      <c r="D540" s="1">
        <v>44889</v>
      </c>
      <c r="E540" t="s">
        <v>39</v>
      </c>
      <c r="F540" t="s">
        <v>18</v>
      </c>
      <c r="G540">
        <v>903</v>
      </c>
      <c r="H540" s="3">
        <v>95.55</v>
      </c>
      <c r="I540" s="3">
        <v>92.45</v>
      </c>
      <c r="J540">
        <v>149</v>
      </c>
      <c r="K540" t="s">
        <v>27</v>
      </c>
      <c r="L540">
        <f t="shared" si="40"/>
        <v>11</v>
      </c>
      <c r="M540" s="3">
        <f>Table1[[#This Row],[Quantity]]*Table1[[#This Row],[Negotiated_Price]]</f>
        <v>83482.350000000006</v>
      </c>
      <c r="N540" s="3">
        <f>Table1[[#This Row],[Quantity]]*Table1[[#This Row],[Unit_Price]]</f>
        <v>86281.65</v>
      </c>
      <c r="O540" s="3">
        <f>Table1[[#This Row],[ Original_Spend ]]-Table1[[#This Row],[ Total_Spend ]]</f>
        <v>2799.2999999999884</v>
      </c>
      <c r="P540" s="2">
        <f t="shared" si="41"/>
        <v>3.2443746729460883E-2</v>
      </c>
      <c r="Q540" s="2">
        <f t="shared" si="42"/>
        <v>0.16500553709856036</v>
      </c>
      <c r="R540" t="str">
        <f t="shared" si="43"/>
        <v>Late</v>
      </c>
      <c r="S540" t="str">
        <f t="shared" si="44"/>
        <v>OK</v>
      </c>
    </row>
    <row r="541" spans="1:19" x14ac:dyDescent="0.25">
      <c r="A541" t="s">
        <v>566</v>
      </c>
      <c r="B541" t="s">
        <v>29</v>
      </c>
      <c r="C541" s="1">
        <v>45244</v>
      </c>
      <c r="D541" s="1">
        <v>45256</v>
      </c>
      <c r="E541" t="s">
        <v>39</v>
      </c>
      <c r="F541" t="s">
        <v>18</v>
      </c>
      <c r="G541">
        <v>100</v>
      </c>
      <c r="H541" s="3">
        <v>98.4</v>
      </c>
      <c r="I541" s="3">
        <v>85.76</v>
      </c>
      <c r="J541">
        <v>3</v>
      </c>
      <c r="K541" t="s">
        <v>15</v>
      </c>
      <c r="L541">
        <f t="shared" si="40"/>
        <v>12</v>
      </c>
      <c r="M541" s="3">
        <f>Table1[[#This Row],[Quantity]]*Table1[[#This Row],[Negotiated_Price]]</f>
        <v>8576</v>
      </c>
      <c r="N541" s="3">
        <f>Table1[[#This Row],[Quantity]]*Table1[[#This Row],[Unit_Price]]</f>
        <v>9840</v>
      </c>
      <c r="O541" s="3">
        <f>Table1[[#This Row],[ Original_Spend ]]-Table1[[#This Row],[ Total_Spend ]]</f>
        <v>1264</v>
      </c>
      <c r="P541" s="2">
        <f t="shared" si="41"/>
        <v>0.12845528455284552</v>
      </c>
      <c r="Q541" s="2">
        <f t="shared" si="42"/>
        <v>0.03</v>
      </c>
      <c r="R541" t="str">
        <f t="shared" si="43"/>
        <v>Late</v>
      </c>
      <c r="S541" t="str">
        <f t="shared" si="44"/>
        <v>OK</v>
      </c>
    </row>
    <row r="542" spans="1:19" x14ac:dyDescent="0.25">
      <c r="A542" t="s">
        <v>567</v>
      </c>
      <c r="B542" t="s">
        <v>29</v>
      </c>
      <c r="C542" s="1">
        <v>44980</v>
      </c>
      <c r="D542" s="1">
        <v>44993</v>
      </c>
      <c r="E542" t="s">
        <v>13</v>
      </c>
      <c r="F542" t="s">
        <v>18</v>
      </c>
      <c r="G542">
        <v>1738</v>
      </c>
      <c r="H542" s="3">
        <v>67.91</v>
      </c>
      <c r="I542" s="3">
        <v>61.15</v>
      </c>
      <c r="K542" t="s">
        <v>15</v>
      </c>
      <c r="L542">
        <f t="shared" si="40"/>
        <v>13</v>
      </c>
      <c r="M542" s="3">
        <f>Table1[[#This Row],[Quantity]]*Table1[[#This Row],[Negotiated_Price]]</f>
        <v>106278.7</v>
      </c>
      <c r="N542" s="3">
        <f>Table1[[#This Row],[Quantity]]*Table1[[#This Row],[Unit_Price]]</f>
        <v>118027.57999999999</v>
      </c>
      <c r="O542" s="3">
        <f>Table1[[#This Row],[ Original_Spend ]]-Table1[[#This Row],[ Total_Spend ]]</f>
        <v>11748.87999999999</v>
      </c>
      <c r="P542" s="2">
        <f t="shared" si="41"/>
        <v>9.9543513473715137E-2</v>
      </c>
      <c r="Q542" s="2">
        <f t="shared" si="42"/>
        <v>0</v>
      </c>
      <c r="R542" t="str">
        <f t="shared" si="43"/>
        <v>Late</v>
      </c>
      <c r="S542" t="str">
        <f t="shared" si="44"/>
        <v>OK</v>
      </c>
    </row>
    <row r="543" spans="1:19" x14ac:dyDescent="0.25">
      <c r="A543" t="s">
        <v>568</v>
      </c>
      <c r="B543" t="s">
        <v>17</v>
      </c>
      <c r="C543" s="1">
        <v>44896</v>
      </c>
      <c r="D543" s="1">
        <v>44909</v>
      </c>
      <c r="E543" t="s">
        <v>24</v>
      </c>
      <c r="F543" t="s">
        <v>18</v>
      </c>
      <c r="G543">
        <v>1771</v>
      </c>
      <c r="H543" s="3">
        <v>67.569999999999993</v>
      </c>
      <c r="I543" s="3">
        <v>61.48</v>
      </c>
      <c r="J543">
        <v>280</v>
      </c>
      <c r="K543" t="s">
        <v>27</v>
      </c>
      <c r="L543">
        <f t="shared" si="40"/>
        <v>13</v>
      </c>
      <c r="M543" s="3">
        <f>Table1[[#This Row],[Quantity]]*Table1[[#This Row],[Negotiated_Price]]</f>
        <v>108881.07999999999</v>
      </c>
      <c r="N543" s="3">
        <f>Table1[[#This Row],[Quantity]]*Table1[[#This Row],[Unit_Price]]</f>
        <v>119666.46999999999</v>
      </c>
      <c r="O543" s="3">
        <f>Table1[[#This Row],[ Original_Spend ]]-Table1[[#This Row],[ Total_Spend ]]</f>
        <v>10785.39</v>
      </c>
      <c r="P543" s="2">
        <f t="shared" si="41"/>
        <v>9.012875536480687E-2</v>
      </c>
      <c r="Q543" s="2">
        <f t="shared" si="42"/>
        <v>0.15810276679841898</v>
      </c>
      <c r="R543" t="str">
        <f t="shared" si="43"/>
        <v>Late</v>
      </c>
      <c r="S543" t="str">
        <f t="shared" si="44"/>
        <v>OK</v>
      </c>
    </row>
    <row r="544" spans="1:19" x14ac:dyDescent="0.25">
      <c r="A544" t="s">
        <v>569</v>
      </c>
      <c r="B544" t="s">
        <v>29</v>
      </c>
      <c r="C544" s="1">
        <v>44974</v>
      </c>
      <c r="D544" s="1">
        <v>44980</v>
      </c>
      <c r="E544" t="s">
        <v>39</v>
      </c>
      <c r="F544" t="s">
        <v>18</v>
      </c>
      <c r="G544">
        <v>624</v>
      </c>
      <c r="H544" s="3">
        <v>74.39</v>
      </c>
      <c r="I544" s="3">
        <v>66.3</v>
      </c>
      <c r="J544">
        <v>18</v>
      </c>
      <c r="K544" t="s">
        <v>27</v>
      </c>
      <c r="L544">
        <f t="shared" si="40"/>
        <v>6</v>
      </c>
      <c r="M544" s="3">
        <f>Table1[[#This Row],[Quantity]]*Table1[[#This Row],[Negotiated_Price]]</f>
        <v>41371.199999999997</v>
      </c>
      <c r="N544" s="3">
        <f>Table1[[#This Row],[Quantity]]*Table1[[#This Row],[Unit_Price]]</f>
        <v>46419.360000000001</v>
      </c>
      <c r="O544" s="3">
        <f>Table1[[#This Row],[ Original_Spend ]]-Table1[[#This Row],[ Total_Spend ]]</f>
        <v>5048.1600000000035</v>
      </c>
      <c r="P544" s="2">
        <f t="shared" si="41"/>
        <v>0.10875117623336478</v>
      </c>
      <c r="Q544" s="2">
        <f t="shared" si="42"/>
        <v>2.8846153846153848E-2</v>
      </c>
      <c r="R544" t="str">
        <f t="shared" si="43"/>
        <v>On Time</v>
      </c>
      <c r="S544" t="str">
        <f t="shared" si="44"/>
        <v>OK</v>
      </c>
    </row>
    <row r="545" spans="1:19" x14ac:dyDescent="0.25">
      <c r="A545" t="s">
        <v>570</v>
      </c>
      <c r="B545" t="s">
        <v>12</v>
      </c>
      <c r="C545" s="1">
        <v>45275</v>
      </c>
      <c r="D545" s="1">
        <v>45291</v>
      </c>
      <c r="E545" t="s">
        <v>24</v>
      </c>
      <c r="F545" t="s">
        <v>33</v>
      </c>
      <c r="G545">
        <v>1263</v>
      </c>
      <c r="H545" s="3">
        <v>28.75</v>
      </c>
      <c r="I545" s="3">
        <v>27.1</v>
      </c>
      <c r="J545">
        <v>26</v>
      </c>
      <c r="K545" t="s">
        <v>15</v>
      </c>
      <c r="L545">
        <f t="shared" si="40"/>
        <v>16</v>
      </c>
      <c r="M545" s="3">
        <f>Table1[[#This Row],[Quantity]]*Table1[[#This Row],[Negotiated_Price]]</f>
        <v>34227.300000000003</v>
      </c>
      <c r="N545" s="3">
        <f>Table1[[#This Row],[Quantity]]*Table1[[#This Row],[Unit_Price]]</f>
        <v>36311.25</v>
      </c>
      <c r="O545" s="3">
        <f>Table1[[#This Row],[ Original_Spend ]]-Table1[[#This Row],[ Total_Spend ]]</f>
        <v>2083.9499999999971</v>
      </c>
      <c r="P545" s="2">
        <f t="shared" si="41"/>
        <v>5.7391304347826008E-2</v>
      </c>
      <c r="Q545" s="2">
        <f t="shared" si="42"/>
        <v>2.0585906571654791E-2</v>
      </c>
      <c r="R545" t="str">
        <f t="shared" si="43"/>
        <v>Partially Delivered</v>
      </c>
      <c r="S545" t="str">
        <f t="shared" si="44"/>
        <v>Status-Date Conflict</v>
      </c>
    </row>
    <row r="546" spans="1:19" x14ac:dyDescent="0.25">
      <c r="A546" t="s">
        <v>571</v>
      </c>
      <c r="B546" t="s">
        <v>20</v>
      </c>
      <c r="C546" s="1">
        <v>44864</v>
      </c>
      <c r="D546" s="1">
        <v>44881</v>
      </c>
      <c r="E546" t="s">
        <v>39</v>
      </c>
      <c r="F546" t="s">
        <v>14</v>
      </c>
      <c r="G546">
        <v>1198</v>
      </c>
      <c r="H546" s="3">
        <v>96.45</v>
      </c>
      <c r="I546" s="3">
        <v>90.09</v>
      </c>
      <c r="K546" t="s">
        <v>15</v>
      </c>
      <c r="L546">
        <f t="shared" si="40"/>
        <v>17</v>
      </c>
      <c r="M546" s="3">
        <f>Table1[[#This Row],[Quantity]]*Table1[[#This Row],[Negotiated_Price]]</f>
        <v>107927.82</v>
      </c>
      <c r="N546" s="3">
        <f>Table1[[#This Row],[Quantity]]*Table1[[#This Row],[Unit_Price]]</f>
        <v>115547.1</v>
      </c>
      <c r="O546" s="3">
        <f>Table1[[#This Row],[ Original_Spend ]]-Table1[[#This Row],[ Total_Spend ]]</f>
        <v>7619.2799999999988</v>
      </c>
      <c r="P546" s="2">
        <f t="shared" si="41"/>
        <v>6.5940902021772926E-2</v>
      </c>
      <c r="Q546" s="2">
        <f t="shared" si="42"/>
        <v>0</v>
      </c>
      <c r="R546" t="str">
        <f t="shared" si="43"/>
        <v>Cancelled</v>
      </c>
      <c r="S546" t="str">
        <f t="shared" si="44"/>
        <v>Status-Date Conflict</v>
      </c>
    </row>
    <row r="547" spans="1:19" x14ac:dyDescent="0.25">
      <c r="A547" t="s">
        <v>572</v>
      </c>
      <c r="B547" t="s">
        <v>29</v>
      </c>
      <c r="C547" s="1">
        <v>45129</v>
      </c>
      <c r="D547" s="1">
        <v>45132</v>
      </c>
      <c r="E547" t="s">
        <v>26</v>
      </c>
      <c r="F547" t="s">
        <v>18</v>
      </c>
      <c r="G547">
        <v>199</v>
      </c>
      <c r="H547" s="3">
        <v>51.98</v>
      </c>
      <c r="I547" s="3">
        <v>45.64</v>
      </c>
      <c r="K547" t="s">
        <v>27</v>
      </c>
      <c r="L547">
        <f t="shared" si="40"/>
        <v>3</v>
      </c>
      <c r="M547" s="3">
        <f>Table1[[#This Row],[Quantity]]*Table1[[#This Row],[Negotiated_Price]]</f>
        <v>9082.36</v>
      </c>
      <c r="N547" s="3">
        <f>Table1[[#This Row],[Quantity]]*Table1[[#This Row],[Unit_Price]]</f>
        <v>10344.019999999999</v>
      </c>
      <c r="O547" s="3">
        <f>Table1[[#This Row],[ Original_Spend ]]-Table1[[#This Row],[ Total_Spend ]]</f>
        <v>1261.659999999998</v>
      </c>
      <c r="P547" s="2">
        <f t="shared" si="41"/>
        <v>0.12196998845709871</v>
      </c>
      <c r="Q547" s="2">
        <f t="shared" si="42"/>
        <v>0</v>
      </c>
      <c r="R547" t="str">
        <f t="shared" si="43"/>
        <v>On Time</v>
      </c>
      <c r="S547" t="str">
        <f t="shared" si="44"/>
        <v>OK</v>
      </c>
    </row>
    <row r="548" spans="1:19" x14ac:dyDescent="0.25">
      <c r="A548" t="s">
        <v>573</v>
      </c>
      <c r="B548" t="s">
        <v>29</v>
      </c>
      <c r="C548" s="1">
        <v>44692</v>
      </c>
      <c r="D548" s="1">
        <v>44695</v>
      </c>
      <c r="E548" t="s">
        <v>21</v>
      </c>
      <c r="F548" t="s">
        <v>35</v>
      </c>
      <c r="G548">
        <v>363</v>
      </c>
      <c r="H548" s="3">
        <v>45.37</v>
      </c>
      <c r="I548" s="3">
        <v>38.729999999999997</v>
      </c>
      <c r="K548" t="s">
        <v>15</v>
      </c>
      <c r="L548">
        <f t="shared" si="40"/>
        <v>3</v>
      </c>
      <c r="M548" s="3">
        <f>Table1[[#This Row],[Quantity]]*Table1[[#This Row],[Negotiated_Price]]</f>
        <v>14058.989999999998</v>
      </c>
      <c r="N548" s="3">
        <f>Table1[[#This Row],[Quantity]]*Table1[[#This Row],[Unit_Price]]</f>
        <v>16469.309999999998</v>
      </c>
      <c r="O548" s="3">
        <f>Table1[[#This Row],[ Original_Spend ]]-Table1[[#This Row],[ Total_Spend ]]</f>
        <v>2410.3199999999997</v>
      </c>
      <c r="P548" s="2">
        <f t="shared" si="41"/>
        <v>0.14635221512012342</v>
      </c>
      <c r="Q548" s="2">
        <f t="shared" si="42"/>
        <v>0</v>
      </c>
      <c r="R548" t="str">
        <f t="shared" si="43"/>
        <v>Pending</v>
      </c>
      <c r="S548" t="str">
        <f t="shared" si="44"/>
        <v>Status-Date Conflict</v>
      </c>
    </row>
    <row r="549" spans="1:19" x14ac:dyDescent="0.25">
      <c r="A549" t="s">
        <v>574</v>
      </c>
      <c r="B549" t="s">
        <v>12</v>
      </c>
      <c r="C549" s="1">
        <v>44758</v>
      </c>
      <c r="D549" s="1">
        <v>44764</v>
      </c>
      <c r="E549" t="s">
        <v>13</v>
      </c>
      <c r="F549" t="s">
        <v>18</v>
      </c>
      <c r="G549">
        <v>619</v>
      </c>
      <c r="H549" s="3">
        <v>58.4</v>
      </c>
      <c r="I549" s="3">
        <v>51.04</v>
      </c>
      <c r="K549" t="s">
        <v>15</v>
      </c>
      <c r="L549">
        <f t="shared" si="40"/>
        <v>6</v>
      </c>
      <c r="M549" s="3">
        <f>Table1[[#This Row],[Quantity]]*Table1[[#This Row],[Negotiated_Price]]</f>
        <v>31593.759999999998</v>
      </c>
      <c r="N549" s="3">
        <f>Table1[[#This Row],[Quantity]]*Table1[[#This Row],[Unit_Price]]</f>
        <v>36149.599999999999</v>
      </c>
      <c r="O549" s="3">
        <f>Table1[[#This Row],[ Original_Spend ]]-Table1[[#This Row],[ Total_Spend ]]</f>
        <v>4555.84</v>
      </c>
      <c r="P549" s="2">
        <f t="shared" si="41"/>
        <v>0.12602739726027398</v>
      </c>
      <c r="Q549" s="2">
        <f t="shared" si="42"/>
        <v>0</v>
      </c>
      <c r="R549" t="str">
        <f t="shared" si="43"/>
        <v>On Time</v>
      </c>
      <c r="S549" t="str">
        <f t="shared" si="44"/>
        <v>OK</v>
      </c>
    </row>
    <row r="550" spans="1:19" x14ac:dyDescent="0.25">
      <c r="A550" t="s">
        <v>575</v>
      </c>
      <c r="B550" t="s">
        <v>12</v>
      </c>
      <c r="C550" s="1">
        <v>44992</v>
      </c>
      <c r="D550" s="1">
        <v>45003</v>
      </c>
      <c r="E550" t="s">
        <v>21</v>
      </c>
      <c r="F550" t="s">
        <v>18</v>
      </c>
      <c r="G550">
        <v>1415</v>
      </c>
      <c r="H550" s="3">
        <v>15.22</v>
      </c>
      <c r="I550" s="3">
        <v>13.56</v>
      </c>
      <c r="J550">
        <v>30</v>
      </c>
      <c r="K550" t="s">
        <v>15</v>
      </c>
      <c r="L550">
        <f t="shared" si="40"/>
        <v>11</v>
      </c>
      <c r="M550" s="3">
        <f>Table1[[#This Row],[Quantity]]*Table1[[#This Row],[Negotiated_Price]]</f>
        <v>19187.400000000001</v>
      </c>
      <c r="N550" s="3">
        <f>Table1[[#This Row],[Quantity]]*Table1[[#This Row],[Unit_Price]]</f>
        <v>21536.3</v>
      </c>
      <c r="O550" s="3">
        <f>Table1[[#This Row],[ Original_Spend ]]-Table1[[#This Row],[ Total_Spend ]]</f>
        <v>2348.8999999999978</v>
      </c>
      <c r="P550" s="2">
        <f t="shared" si="41"/>
        <v>0.10906701708278571</v>
      </c>
      <c r="Q550" s="2">
        <f t="shared" si="42"/>
        <v>2.1201413427561839E-2</v>
      </c>
      <c r="R550" t="str">
        <f t="shared" si="43"/>
        <v>Late</v>
      </c>
      <c r="S550" t="str">
        <f t="shared" si="44"/>
        <v>OK</v>
      </c>
    </row>
    <row r="551" spans="1:19" x14ac:dyDescent="0.25">
      <c r="A551" t="s">
        <v>576</v>
      </c>
      <c r="B551" t="s">
        <v>23</v>
      </c>
      <c r="C551" s="1">
        <v>45242</v>
      </c>
      <c r="D551" s="1">
        <v>45253</v>
      </c>
      <c r="E551" t="s">
        <v>24</v>
      </c>
      <c r="F551" t="s">
        <v>18</v>
      </c>
      <c r="G551">
        <v>354</v>
      </c>
      <c r="H551" s="3">
        <v>27.71</v>
      </c>
      <c r="I551" s="3">
        <v>23.87</v>
      </c>
      <c r="J551">
        <v>39</v>
      </c>
      <c r="K551" t="s">
        <v>27</v>
      </c>
      <c r="L551">
        <f t="shared" si="40"/>
        <v>11</v>
      </c>
      <c r="M551" s="3">
        <f>Table1[[#This Row],[Quantity]]*Table1[[#This Row],[Negotiated_Price]]</f>
        <v>8449.98</v>
      </c>
      <c r="N551" s="3">
        <f>Table1[[#This Row],[Quantity]]*Table1[[#This Row],[Unit_Price]]</f>
        <v>9809.34</v>
      </c>
      <c r="O551" s="3">
        <f>Table1[[#This Row],[ Original_Spend ]]-Table1[[#This Row],[ Total_Spend ]]</f>
        <v>1359.3600000000006</v>
      </c>
      <c r="P551" s="2">
        <f t="shared" si="41"/>
        <v>0.13857813063875862</v>
      </c>
      <c r="Q551" s="2">
        <f t="shared" si="42"/>
        <v>0.11016949152542373</v>
      </c>
      <c r="R551" t="str">
        <f t="shared" si="43"/>
        <v>Late</v>
      </c>
      <c r="S551" t="str">
        <f t="shared" si="44"/>
        <v>OK</v>
      </c>
    </row>
    <row r="552" spans="1:19" x14ac:dyDescent="0.25">
      <c r="A552" t="s">
        <v>577</v>
      </c>
      <c r="B552" t="s">
        <v>20</v>
      </c>
      <c r="C552" s="1">
        <v>44950</v>
      </c>
      <c r="D552" s="1">
        <v>44960</v>
      </c>
      <c r="E552" t="s">
        <v>21</v>
      </c>
      <c r="F552" t="s">
        <v>18</v>
      </c>
      <c r="G552">
        <v>1765</v>
      </c>
      <c r="H552" s="3">
        <v>81.010000000000005</v>
      </c>
      <c r="I552" s="3">
        <v>78.430000000000007</v>
      </c>
      <c r="J552">
        <v>78</v>
      </c>
      <c r="K552" t="s">
        <v>15</v>
      </c>
      <c r="L552">
        <f t="shared" si="40"/>
        <v>10</v>
      </c>
      <c r="M552" s="3">
        <f>Table1[[#This Row],[Quantity]]*Table1[[#This Row],[Negotiated_Price]]</f>
        <v>138428.95000000001</v>
      </c>
      <c r="N552" s="3">
        <f>Table1[[#This Row],[Quantity]]*Table1[[#This Row],[Unit_Price]]</f>
        <v>142982.65000000002</v>
      </c>
      <c r="O552" s="3">
        <f>Table1[[#This Row],[ Original_Spend ]]-Table1[[#This Row],[ Total_Spend ]]</f>
        <v>4553.7000000000116</v>
      </c>
      <c r="P552" s="2">
        <f t="shared" si="41"/>
        <v>3.1847920009875401E-2</v>
      </c>
      <c r="Q552" s="2">
        <f t="shared" si="42"/>
        <v>4.4192634560906517E-2</v>
      </c>
      <c r="R552" t="str">
        <f t="shared" si="43"/>
        <v>On Time</v>
      </c>
      <c r="S552" t="str">
        <f t="shared" si="44"/>
        <v>OK</v>
      </c>
    </row>
    <row r="553" spans="1:19" x14ac:dyDescent="0.25">
      <c r="A553" t="s">
        <v>578</v>
      </c>
      <c r="B553" t="s">
        <v>23</v>
      </c>
      <c r="C553" s="1">
        <v>45255</v>
      </c>
      <c r="D553" s="1">
        <v>45269</v>
      </c>
      <c r="E553" t="s">
        <v>21</v>
      </c>
      <c r="F553" t="s">
        <v>18</v>
      </c>
      <c r="G553">
        <v>731</v>
      </c>
      <c r="H553" s="3">
        <v>19.37</v>
      </c>
      <c r="I553" s="3">
        <v>17.3</v>
      </c>
      <c r="J553">
        <v>69</v>
      </c>
      <c r="K553" t="s">
        <v>27</v>
      </c>
      <c r="L553">
        <f t="shared" si="40"/>
        <v>14</v>
      </c>
      <c r="M553" s="3">
        <f>Table1[[#This Row],[Quantity]]*Table1[[#This Row],[Negotiated_Price]]</f>
        <v>12646.300000000001</v>
      </c>
      <c r="N553" s="3">
        <f>Table1[[#This Row],[Quantity]]*Table1[[#This Row],[Unit_Price]]</f>
        <v>14159.470000000001</v>
      </c>
      <c r="O553" s="3">
        <f>Table1[[#This Row],[ Original_Spend ]]-Table1[[#This Row],[ Total_Spend ]]</f>
        <v>1513.17</v>
      </c>
      <c r="P553" s="2">
        <f t="shared" si="41"/>
        <v>0.10686628807434176</v>
      </c>
      <c r="Q553" s="2">
        <f t="shared" si="42"/>
        <v>9.4391244870041038E-2</v>
      </c>
      <c r="R553" t="str">
        <f t="shared" si="43"/>
        <v>Late</v>
      </c>
      <c r="S553" t="str">
        <f t="shared" si="44"/>
        <v>OK</v>
      </c>
    </row>
    <row r="554" spans="1:19" x14ac:dyDescent="0.25">
      <c r="A554" t="s">
        <v>579</v>
      </c>
      <c r="B554" t="s">
        <v>29</v>
      </c>
      <c r="C554" s="1">
        <v>44740</v>
      </c>
      <c r="D554" s="1">
        <v>44755</v>
      </c>
      <c r="E554" t="s">
        <v>21</v>
      </c>
      <c r="F554" t="s">
        <v>18</v>
      </c>
      <c r="G554">
        <v>887</v>
      </c>
      <c r="H554" s="3">
        <v>65.89</v>
      </c>
      <c r="I554" s="3">
        <v>59.67</v>
      </c>
      <c r="J554">
        <v>29</v>
      </c>
      <c r="K554" t="s">
        <v>15</v>
      </c>
      <c r="L554">
        <f t="shared" si="40"/>
        <v>15</v>
      </c>
      <c r="M554" s="3">
        <f>Table1[[#This Row],[Quantity]]*Table1[[#This Row],[Negotiated_Price]]</f>
        <v>52927.29</v>
      </c>
      <c r="N554" s="3">
        <f>Table1[[#This Row],[Quantity]]*Table1[[#This Row],[Unit_Price]]</f>
        <v>58444.43</v>
      </c>
      <c r="O554" s="3">
        <f>Table1[[#This Row],[ Original_Spend ]]-Table1[[#This Row],[ Total_Spend ]]</f>
        <v>5517.1399999999994</v>
      </c>
      <c r="P554" s="2">
        <f t="shared" si="41"/>
        <v>9.4399757171042639E-2</v>
      </c>
      <c r="Q554" s="2">
        <f t="shared" si="42"/>
        <v>3.269447576099211E-2</v>
      </c>
      <c r="R554" t="str">
        <f t="shared" si="43"/>
        <v>Late</v>
      </c>
      <c r="S554" t="str">
        <f t="shared" si="44"/>
        <v>OK</v>
      </c>
    </row>
    <row r="555" spans="1:19" x14ac:dyDescent="0.25">
      <c r="A555" t="s">
        <v>580</v>
      </c>
      <c r="B555" t="s">
        <v>12</v>
      </c>
      <c r="C555" s="1">
        <v>45192</v>
      </c>
      <c r="D555" s="1">
        <v>45194</v>
      </c>
      <c r="E555" t="s">
        <v>21</v>
      </c>
      <c r="F555" t="s">
        <v>18</v>
      </c>
      <c r="G555">
        <v>1856</v>
      </c>
      <c r="H555" s="3">
        <v>35.29</v>
      </c>
      <c r="I555" s="3">
        <v>32.409999999999997</v>
      </c>
      <c r="J555">
        <v>26</v>
      </c>
      <c r="K555" t="s">
        <v>15</v>
      </c>
      <c r="L555">
        <f t="shared" si="40"/>
        <v>2</v>
      </c>
      <c r="M555" s="3">
        <f>Table1[[#This Row],[Quantity]]*Table1[[#This Row],[Negotiated_Price]]</f>
        <v>60152.959999999992</v>
      </c>
      <c r="N555" s="3">
        <f>Table1[[#This Row],[Quantity]]*Table1[[#This Row],[Unit_Price]]</f>
        <v>65498.239999999998</v>
      </c>
      <c r="O555" s="3">
        <f>Table1[[#This Row],[ Original_Spend ]]-Table1[[#This Row],[ Total_Spend ]]</f>
        <v>5345.2800000000061</v>
      </c>
      <c r="P555" s="2">
        <f t="shared" si="41"/>
        <v>8.1609521110796349E-2</v>
      </c>
      <c r="Q555" s="2">
        <f t="shared" si="42"/>
        <v>1.4008620689655173E-2</v>
      </c>
      <c r="R555" t="str">
        <f t="shared" si="43"/>
        <v>On Time</v>
      </c>
      <c r="S555" t="str">
        <f t="shared" si="44"/>
        <v>OK</v>
      </c>
    </row>
    <row r="556" spans="1:19" x14ac:dyDescent="0.25">
      <c r="A556" t="s">
        <v>581</v>
      </c>
      <c r="B556" t="s">
        <v>29</v>
      </c>
      <c r="C556" s="1">
        <v>45144</v>
      </c>
      <c r="D556" s="1">
        <v>45156</v>
      </c>
      <c r="E556" t="s">
        <v>13</v>
      </c>
      <c r="F556" t="s">
        <v>18</v>
      </c>
      <c r="G556">
        <v>1127</v>
      </c>
      <c r="H556" s="3">
        <v>49.32</v>
      </c>
      <c r="I556" s="3">
        <v>46.49</v>
      </c>
      <c r="J556">
        <v>30</v>
      </c>
      <c r="K556" t="s">
        <v>15</v>
      </c>
      <c r="L556">
        <f t="shared" si="40"/>
        <v>12</v>
      </c>
      <c r="M556" s="3">
        <f>Table1[[#This Row],[Quantity]]*Table1[[#This Row],[Negotiated_Price]]</f>
        <v>52394.23</v>
      </c>
      <c r="N556" s="3">
        <f>Table1[[#This Row],[Quantity]]*Table1[[#This Row],[Unit_Price]]</f>
        <v>55583.64</v>
      </c>
      <c r="O556" s="3">
        <f>Table1[[#This Row],[ Original_Spend ]]-Table1[[#This Row],[ Total_Spend ]]</f>
        <v>3189.4099999999962</v>
      </c>
      <c r="P556" s="2">
        <f t="shared" si="41"/>
        <v>5.7380373073803663E-2</v>
      </c>
      <c r="Q556" s="2">
        <f t="shared" si="42"/>
        <v>2.6619343389529725E-2</v>
      </c>
      <c r="R556" t="str">
        <f t="shared" si="43"/>
        <v>Late</v>
      </c>
      <c r="S556" t="str">
        <f t="shared" si="44"/>
        <v>OK</v>
      </c>
    </row>
    <row r="557" spans="1:19" x14ac:dyDescent="0.25">
      <c r="A557" t="s">
        <v>582</v>
      </c>
      <c r="B557" t="s">
        <v>17</v>
      </c>
      <c r="C557" s="1">
        <v>44870</v>
      </c>
      <c r="D557" s="1">
        <v>44884</v>
      </c>
      <c r="E557" t="s">
        <v>26</v>
      </c>
      <c r="F557" t="s">
        <v>18</v>
      </c>
      <c r="G557">
        <v>1052</v>
      </c>
      <c r="H557" s="3">
        <v>37.78</v>
      </c>
      <c r="I557" s="3">
        <v>32.6</v>
      </c>
      <c r="J557">
        <v>162</v>
      </c>
      <c r="K557" t="s">
        <v>15</v>
      </c>
      <c r="L557">
        <f t="shared" si="40"/>
        <v>14</v>
      </c>
      <c r="M557" s="3">
        <f>Table1[[#This Row],[Quantity]]*Table1[[#This Row],[Negotiated_Price]]</f>
        <v>34295.200000000004</v>
      </c>
      <c r="N557" s="3">
        <f>Table1[[#This Row],[Quantity]]*Table1[[#This Row],[Unit_Price]]</f>
        <v>39744.559999999998</v>
      </c>
      <c r="O557" s="3">
        <f>Table1[[#This Row],[ Original_Spend ]]-Table1[[#This Row],[ Total_Spend ]]</f>
        <v>5449.3599999999933</v>
      </c>
      <c r="P557" s="2">
        <f t="shared" si="41"/>
        <v>0.13710958178930635</v>
      </c>
      <c r="Q557" s="2">
        <f t="shared" si="42"/>
        <v>0.15399239543726237</v>
      </c>
      <c r="R557" t="str">
        <f t="shared" si="43"/>
        <v>Late</v>
      </c>
      <c r="S557" t="str">
        <f t="shared" si="44"/>
        <v>OK</v>
      </c>
    </row>
    <row r="558" spans="1:19" x14ac:dyDescent="0.25">
      <c r="A558" t="s">
        <v>583</v>
      </c>
      <c r="B558" t="s">
        <v>20</v>
      </c>
      <c r="C558" s="1">
        <v>44977</v>
      </c>
      <c r="D558" s="1">
        <v>44979</v>
      </c>
      <c r="E558" t="s">
        <v>26</v>
      </c>
      <c r="F558" t="s">
        <v>18</v>
      </c>
      <c r="G558">
        <v>493</v>
      </c>
      <c r="H558" s="3">
        <v>44.74</v>
      </c>
      <c r="I558" s="3">
        <v>41.44</v>
      </c>
      <c r="J558">
        <v>24</v>
      </c>
      <c r="K558" t="s">
        <v>27</v>
      </c>
      <c r="L558">
        <f t="shared" si="40"/>
        <v>2</v>
      </c>
      <c r="M558" s="3">
        <f>Table1[[#This Row],[Quantity]]*Table1[[#This Row],[Negotiated_Price]]</f>
        <v>20429.919999999998</v>
      </c>
      <c r="N558" s="3">
        <f>Table1[[#This Row],[Quantity]]*Table1[[#This Row],[Unit_Price]]</f>
        <v>22056.82</v>
      </c>
      <c r="O558" s="3">
        <f>Table1[[#This Row],[ Original_Spend ]]-Table1[[#This Row],[ Total_Spend ]]</f>
        <v>1626.9000000000015</v>
      </c>
      <c r="P558" s="2">
        <f t="shared" si="41"/>
        <v>7.3759499329459161E-2</v>
      </c>
      <c r="Q558" s="2">
        <f t="shared" si="42"/>
        <v>4.8681541582150101E-2</v>
      </c>
      <c r="R558" t="str">
        <f t="shared" si="43"/>
        <v>On Time</v>
      </c>
      <c r="S558" t="str">
        <f t="shared" si="44"/>
        <v>OK</v>
      </c>
    </row>
    <row r="559" spans="1:19" x14ac:dyDescent="0.25">
      <c r="A559" t="s">
        <v>584</v>
      </c>
      <c r="B559" t="s">
        <v>17</v>
      </c>
      <c r="C559" s="1">
        <v>45123</v>
      </c>
      <c r="D559" s="1">
        <v>45136</v>
      </c>
      <c r="E559" t="s">
        <v>21</v>
      </c>
      <c r="F559" t="s">
        <v>33</v>
      </c>
      <c r="G559">
        <v>662</v>
      </c>
      <c r="H559" s="3">
        <v>81.44</v>
      </c>
      <c r="I559" s="3">
        <v>71.33</v>
      </c>
      <c r="J559">
        <v>87</v>
      </c>
      <c r="K559" t="s">
        <v>15</v>
      </c>
      <c r="L559">
        <f t="shared" si="40"/>
        <v>13</v>
      </c>
      <c r="M559" s="3">
        <f>Table1[[#This Row],[Quantity]]*Table1[[#This Row],[Negotiated_Price]]</f>
        <v>47220.46</v>
      </c>
      <c r="N559" s="3">
        <f>Table1[[#This Row],[Quantity]]*Table1[[#This Row],[Unit_Price]]</f>
        <v>53913.279999999999</v>
      </c>
      <c r="O559" s="3">
        <f>Table1[[#This Row],[ Original_Spend ]]-Table1[[#This Row],[ Total_Spend ]]</f>
        <v>6692.82</v>
      </c>
      <c r="P559" s="2">
        <f t="shared" si="41"/>
        <v>0.12414047151277013</v>
      </c>
      <c r="Q559" s="2">
        <f t="shared" si="42"/>
        <v>0.13141993957703926</v>
      </c>
      <c r="R559" t="str">
        <f t="shared" si="43"/>
        <v>Partially Delivered</v>
      </c>
      <c r="S559" t="str">
        <f t="shared" si="44"/>
        <v>Status-Date Conflict</v>
      </c>
    </row>
    <row r="560" spans="1:19" x14ac:dyDescent="0.25">
      <c r="A560" t="s">
        <v>585</v>
      </c>
      <c r="B560" t="s">
        <v>12</v>
      </c>
      <c r="C560" s="1">
        <v>44562</v>
      </c>
      <c r="D560" s="1">
        <v>44568</v>
      </c>
      <c r="E560" t="s">
        <v>26</v>
      </c>
      <c r="F560" t="s">
        <v>18</v>
      </c>
      <c r="G560">
        <v>1042</v>
      </c>
      <c r="H560" s="3">
        <v>36.74</v>
      </c>
      <c r="I560" s="3">
        <v>35.78</v>
      </c>
      <c r="J560">
        <v>33</v>
      </c>
      <c r="K560" t="s">
        <v>15</v>
      </c>
      <c r="L560">
        <f t="shared" si="40"/>
        <v>6</v>
      </c>
      <c r="M560" s="3">
        <f>Table1[[#This Row],[Quantity]]*Table1[[#This Row],[Negotiated_Price]]</f>
        <v>37282.76</v>
      </c>
      <c r="N560" s="3">
        <f>Table1[[#This Row],[Quantity]]*Table1[[#This Row],[Unit_Price]]</f>
        <v>38283.08</v>
      </c>
      <c r="O560" s="3">
        <f>Table1[[#This Row],[ Original_Spend ]]-Table1[[#This Row],[ Total_Spend ]]</f>
        <v>1000.3199999999997</v>
      </c>
      <c r="P560" s="2">
        <f t="shared" si="41"/>
        <v>2.6129559063690792E-2</v>
      </c>
      <c r="Q560" s="2">
        <f t="shared" si="42"/>
        <v>3.166986564299424E-2</v>
      </c>
      <c r="R560" t="str">
        <f t="shared" si="43"/>
        <v>On Time</v>
      </c>
      <c r="S560" t="str">
        <f t="shared" si="44"/>
        <v>OK</v>
      </c>
    </row>
    <row r="561" spans="1:19" x14ac:dyDescent="0.25">
      <c r="A561" t="s">
        <v>586</v>
      </c>
      <c r="B561" t="s">
        <v>12</v>
      </c>
      <c r="C561" s="1">
        <v>44873</v>
      </c>
      <c r="E561" t="s">
        <v>26</v>
      </c>
      <c r="F561" t="s">
        <v>18</v>
      </c>
      <c r="G561">
        <v>313</v>
      </c>
      <c r="H561" s="3">
        <v>64.03</v>
      </c>
      <c r="I561" s="3">
        <v>57.74</v>
      </c>
      <c r="J561">
        <v>1</v>
      </c>
      <c r="K561" t="s">
        <v>15</v>
      </c>
      <c r="L561" t="str">
        <f t="shared" si="40"/>
        <v/>
      </c>
      <c r="M561" s="3">
        <f>Table1[[#This Row],[Quantity]]*Table1[[#This Row],[Negotiated_Price]]</f>
        <v>18072.62</v>
      </c>
      <c r="N561" s="3">
        <f>Table1[[#This Row],[Quantity]]*Table1[[#This Row],[Unit_Price]]</f>
        <v>20041.39</v>
      </c>
      <c r="O561" s="3">
        <f>Table1[[#This Row],[ Original_Spend ]]-Table1[[#This Row],[ Total_Spend ]]</f>
        <v>1968.7700000000004</v>
      </c>
      <c r="P561" s="2">
        <f t="shared" si="41"/>
        <v>9.823520224894583E-2</v>
      </c>
      <c r="Q561" s="2">
        <f t="shared" si="42"/>
        <v>3.1948881789137379E-3</v>
      </c>
      <c r="R561" t="str">
        <f t="shared" si="43"/>
        <v>Missing Delivery Date</v>
      </c>
      <c r="S561" t="str">
        <f t="shared" si="44"/>
        <v>Missing Delivery Date</v>
      </c>
    </row>
    <row r="562" spans="1:19" x14ac:dyDescent="0.25">
      <c r="A562" t="s">
        <v>587</v>
      </c>
      <c r="B562" t="s">
        <v>12</v>
      </c>
      <c r="C562" s="1">
        <v>44855</v>
      </c>
      <c r="D562" s="1">
        <v>44875</v>
      </c>
      <c r="E562" t="s">
        <v>13</v>
      </c>
      <c r="F562" t="s">
        <v>18</v>
      </c>
      <c r="G562">
        <v>1126</v>
      </c>
      <c r="H562" s="3">
        <v>55.22</v>
      </c>
      <c r="I562" s="3">
        <v>50.38</v>
      </c>
      <c r="K562" t="s">
        <v>15</v>
      </c>
      <c r="L562">
        <f t="shared" si="40"/>
        <v>20</v>
      </c>
      <c r="M562" s="3">
        <f>Table1[[#This Row],[Quantity]]*Table1[[#This Row],[Negotiated_Price]]</f>
        <v>56727.880000000005</v>
      </c>
      <c r="N562" s="3">
        <f>Table1[[#This Row],[Quantity]]*Table1[[#This Row],[Unit_Price]]</f>
        <v>62177.72</v>
      </c>
      <c r="O562" s="3">
        <f>Table1[[#This Row],[ Original_Spend ]]-Table1[[#This Row],[ Total_Spend ]]</f>
        <v>5449.8399999999965</v>
      </c>
      <c r="P562" s="2">
        <f t="shared" si="41"/>
        <v>8.7649402390438183E-2</v>
      </c>
      <c r="Q562" s="2">
        <f t="shared" si="42"/>
        <v>0</v>
      </c>
      <c r="R562" t="str">
        <f t="shared" si="43"/>
        <v>Late</v>
      </c>
      <c r="S562" t="str">
        <f t="shared" si="44"/>
        <v>OK</v>
      </c>
    </row>
    <row r="563" spans="1:19" x14ac:dyDescent="0.25">
      <c r="A563" t="s">
        <v>588</v>
      </c>
      <c r="B563" t="s">
        <v>20</v>
      </c>
      <c r="C563" s="1">
        <v>44777</v>
      </c>
      <c r="D563" s="1">
        <v>44792</v>
      </c>
      <c r="E563" t="s">
        <v>21</v>
      </c>
      <c r="F563" t="s">
        <v>18</v>
      </c>
      <c r="G563">
        <v>1645</v>
      </c>
      <c r="H563" s="3">
        <v>72.17</v>
      </c>
      <c r="I563" s="3">
        <v>64</v>
      </c>
      <c r="J563">
        <v>79</v>
      </c>
      <c r="K563" t="s">
        <v>15</v>
      </c>
      <c r="L563">
        <f t="shared" si="40"/>
        <v>15</v>
      </c>
      <c r="M563" s="3">
        <f>Table1[[#This Row],[Quantity]]*Table1[[#This Row],[Negotiated_Price]]</f>
        <v>105280</v>
      </c>
      <c r="N563" s="3">
        <f>Table1[[#This Row],[Quantity]]*Table1[[#This Row],[Unit_Price]]</f>
        <v>118719.65000000001</v>
      </c>
      <c r="O563" s="3">
        <f>Table1[[#This Row],[ Original_Spend ]]-Table1[[#This Row],[ Total_Spend ]]</f>
        <v>13439.650000000009</v>
      </c>
      <c r="P563" s="2">
        <f t="shared" si="41"/>
        <v>0.11320493279756137</v>
      </c>
      <c r="Q563" s="2">
        <f t="shared" si="42"/>
        <v>4.8024316109422489E-2</v>
      </c>
      <c r="R563" t="str">
        <f t="shared" si="43"/>
        <v>Late</v>
      </c>
      <c r="S563" t="str">
        <f t="shared" si="44"/>
        <v>OK</v>
      </c>
    </row>
    <row r="564" spans="1:19" x14ac:dyDescent="0.25">
      <c r="A564" t="s">
        <v>589</v>
      </c>
      <c r="B564" t="s">
        <v>23</v>
      </c>
      <c r="C564" s="1">
        <v>45002</v>
      </c>
      <c r="D564" s="1">
        <v>45005</v>
      </c>
      <c r="E564" t="s">
        <v>24</v>
      </c>
      <c r="F564" t="s">
        <v>18</v>
      </c>
      <c r="G564">
        <v>1053</v>
      </c>
      <c r="H564" s="3">
        <v>100.92</v>
      </c>
      <c r="I564" s="3">
        <v>92.35</v>
      </c>
      <c r="J564">
        <v>104</v>
      </c>
      <c r="K564" t="s">
        <v>15</v>
      </c>
      <c r="L564">
        <f t="shared" si="40"/>
        <v>3</v>
      </c>
      <c r="M564" s="3">
        <f>Table1[[#This Row],[Quantity]]*Table1[[#This Row],[Negotiated_Price]]</f>
        <v>97244.549999999988</v>
      </c>
      <c r="N564" s="3">
        <f>Table1[[#This Row],[Quantity]]*Table1[[#This Row],[Unit_Price]]</f>
        <v>106268.76</v>
      </c>
      <c r="O564" s="3">
        <f>Table1[[#This Row],[ Original_Spend ]]-Table1[[#This Row],[ Total_Spend ]]</f>
        <v>9024.2100000000064</v>
      </c>
      <c r="P564" s="2">
        <f t="shared" si="41"/>
        <v>8.4918747522790397E-2</v>
      </c>
      <c r="Q564" s="2">
        <f t="shared" si="42"/>
        <v>9.8765432098765427E-2</v>
      </c>
      <c r="R564" t="str">
        <f t="shared" si="43"/>
        <v>On Time</v>
      </c>
      <c r="S564" t="str">
        <f t="shared" si="44"/>
        <v>OK</v>
      </c>
    </row>
    <row r="565" spans="1:19" x14ac:dyDescent="0.25">
      <c r="A565" t="s">
        <v>590</v>
      </c>
      <c r="B565" t="s">
        <v>29</v>
      </c>
      <c r="C565" s="1">
        <v>45155</v>
      </c>
      <c r="D565" s="1">
        <v>45167</v>
      </c>
      <c r="E565" t="s">
        <v>21</v>
      </c>
      <c r="F565" t="s">
        <v>18</v>
      </c>
      <c r="G565">
        <v>1693</v>
      </c>
      <c r="H565" s="3">
        <v>83.14</v>
      </c>
      <c r="I565" s="3">
        <v>73.3</v>
      </c>
      <c r="J565">
        <v>62</v>
      </c>
      <c r="K565" t="s">
        <v>15</v>
      </c>
      <c r="L565">
        <f t="shared" si="40"/>
        <v>12</v>
      </c>
      <c r="M565" s="3">
        <f>Table1[[#This Row],[Quantity]]*Table1[[#This Row],[Negotiated_Price]]</f>
        <v>124096.9</v>
      </c>
      <c r="N565" s="3">
        <f>Table1[[#This Row],[Quantity]]*Table1[[#This Row],[Unit_Price]]</f>
        <v>140756.01999999999</v>
      </c>
      <c r="O565" s="3">
        <f>Table1[[#This Row],[ Original_Spend ]]-Table1[[#This Row],[ Total_Spend ]]</f>
        <v>16659.119999999995</v>
      </c>
      <c r="P565" s="2">
        <f t="shared" si="41"/>
        <v>0.11835458263170553</v>
      </c>
      <c r="Q565" s="2">
        <f t="shared" si="42"/>
        <v>3.662138216184288E-2</v>
      </c>
      <c r="R565" t="str">
        <f t="shared" si="43"/>
        <v>Late</v>
      </c>
      <c r="S565" t="str">
        <f t="shared" si="44"/>
        <v>OK</v>
      </c>
    </row>
    <row r="566" spans="1:19" x14ac:dyDescent="0.25">
      <c r="A566" t="s">
        <v>591</v>
      </c>
      <c r="B566" t="s">
        <v>29</v>
      </c>
      <c r="C566" s="1">
        <v>45183</v>
      </c>
      <c r="D566" s="1">
        <v>45202</v>
      </c>
      <c r="E566" t="s">
        <v>26</v>
      </c>
      <c r="F566" t="s">
        <v>35</v>
      </c>
      <c r="G566">
        <v>54</v>
      </c>
      <c r="H566" s="3">
        <v>32.28</v>
      </c>
      <c r="I566" s="3">
        <v>28.65</v>
      </c>
      <c r="J566">
        <v>3</v>
      </c>
      <c r="K566" t="s">
        <v>15</v>
      </c>
      <c r="L566">
        <f t="shared" si="40"/>
        <v>19</v>
      </c>
      <c r="M566" s="3">
        <f>Table1[[#This Row],[Quantity]]*Table1[[#This Row],[Negotiated_Price]]</f>
        <v>1547.1</v>
      </c>
      <c r="N566" s="3">
        <f>Table1[[#This Row],[Quantity]]*Table1[[#This Row],[Unit_Price]]</f>
        <v>1743.1200000000001</v>
      </c>
      <c r="O566" s="3">
        <f>Table1[[#This Row],[ Original_Spend ]]-Table1[[#This Row],[ Total_Spend ]]</f>
        <v>196.02000000000021</v>
      </c>
      <c r="P566" s="2">
        <f t="shared" si="41"/>
        <v>0.11245353159851312</v>
      </c>
      <c r="Q566" s="2">
        <f t="shared" si="42"/>
        <v>5.5555555555555552E-2</v>
      </c>
      <c r="R566" t="str">
        <f t="shared" si="43"/>
        <v>Pending</v>
      </c>
      <c r="S566" t="str">
        <f t="shared" si="44"/>
        <v>Status-Date Conflict</v>
      </c>
    </row>
    <row r="567" spans="1:19" x14ac:dyDescent="0.25">
      <c r="A567" t="s">
        <v>592</v>
      </c>
      <c r="B567" t="s">
        <v>29</v>
      </c>
      <c r="C567" s="1">
        <v>45232</v>
      </c>
      <c r="D567" s="1">
        <v>45237</v>
      </c>
      <c r="E567" t="s">
        <v>24</v>
      </c>
      <c r="F567" t="s">
        <v>18</v>
      </c>
      <c r="G567">
        <v>1176</v>
      </c>
      <c r="H567" s="3">
        <v>14.22</v>
      </c>
      <c r="I567" s="3">
        <v>12.21</v>
      </c>
      <c r="J567">
        <v>33</v>
      </c>
      <c r="K567" t="s">
        <v>15</v>
      </c>
      <c r="L567">
        <f t="shared" si="40"/>
        <v>5</v>
      </c>
      <c r="M567" s="3">
        <f>Table1[[#This Row],[Quantity]]*Table1[[#This Row],[Negotiated_Price]]</f>
        <v>14358.960000000001</v>
      </c>
      <c r="N567" s="3">
        <f>Table1[[#This Row],[Quantity]]*Table1[[#This Row],[Unit_Price]]</f>
        <v>16722.72</v>
      </c>
      <c r="O567" s="3">
        <f>Table1[[#This Row],[ Original_Spend ]]-Table1[[#This Row],[ Total_Spend ]]</f>
        <v>2363.7600000000002</v>
      </c>
      <c r="P567" s="2">
        <f t="shared" si="41"/>
        <v>0.14135021097046413</v>
      </c>
      <c r="Q567" s="2">
        <f t="shared" si="42"/>
        <v>2.8061224489795918E-2</v>
      </c>
      <c r="R567" t="str">
        <f t="shared" si="43"/>
        <v>On Time</v>
      </c>
      <c r="S567" t="str">
        <f t="shared" si="44"/>
        <v>OK</v>
      </c>
    </row>
    <row r="568" spans="1:19" x14ac:dyDescent="0.25">
      <c r="A568" t="s">
        <v>593</v>
      </c>
      <c r="B568" t="s">
        <v>29</v>
      </c>
      <c r="C568" s="1">
        <v>44891</v>
      </c>
      <c r="D568" s="1">
        <v>44903</v>
      </c>
      <c r="E568" t="s">
        <v>26</v>
      </c>
      <c r="F568" t="s">
        <v>18</v>
      </c>
      <c r="G568">
        <v>1269</v>
      </c>
      <c r="H568" s="3">
        <v>35.28</v>
      </c>
      <c r="I568" s="3">
        <v>33.700000000000003</v>
      </c>
      <c r="J568">
        <v>35</v>
      </c>
      <c r="K568" t="s">
        <v>15</v>
      </c>
      <c r="L568">
        <f t="shared" si="40"/>
        <v>12</v>
      </c>
      <c r="M568" s="3">
        <f>Table1[[#This Row],[Quantity]]*Table1[[#This Row],[Negotiated_Price]]</f>
        <v>42765.3</v>
      </c>
      <c r="N568" s="3">
        <f>Table1[[#This Row],[Quantity]]*Table1[[#This Row],[Unit_Price]]</f>
        <v>44770.32</v>
      </c>
      <c r="O568" s="3">
        <f>Table1[[#This Row],[ Original_Spend ]]-Table1[[#This Row],[ Total_Spend ]]</f>
        <v>2005.0199999999968</v>
      </c>
      <c r="P568" s="2">
        <f t="shared" si="41"/>
        <v>4.478458049886614E-2</v>
      </c>
      <c r="Q568" s="2">
        <f t="shared" si="42"/>
        <v>2.7580772261623327E-2</v>
      </c>
      <c r="R568" t="str">
        <f t="shared" si="43"/>
        <v>Late</v>
      </c>
      <c r="S568" t="str">
        <f t="shared" si="44"/>
        <v>OK</v>
      </c>
    </row>
    <row r="569" spans="1:19" x14ac:dyDescent="0.25">
      <c r="A569" t="s">
        <v>594</v>
      </c>
      <c r="B569" t="s">
        <v>29</v>
      </c>
      <c r="C569" s="1">
        <v>45038</v>
      </c>
      <c r="D569" s="1">
        <v>45041</v>
      </c>
      <c r="E569" t="s">
        <v>26</v>
      </c>
      <c r="F569" t="s">
        <v>18</v>
      </c>
      <c r="G569">
        <v>823</v>
      </c>
      <c r="H569" s="3">
        <v>68.319999999999993</v>
      </c>
      <c r="I569" s="3">
        <v>64.459999999999994</v>
      </c>
      <c r="J569">
        <v>19</v>
      </c>
      <c r="K569" t="s">
        <v>15</v>
      </c>
      <c r="L569">
        <f t="shared" si="40"/>
        <v>3</v>
      </c>
      <c r="M569" s="3">
        <f>Table1[[#This Row],[Quantity]]*Table1[[#This Row],[Negotiated_Price]]</f>
        <v>53050.579999999994</v>
      </c>
      <c r="N569" s="3">
        <f>Table1[[#This Row],[Quantity]]*Table1[[#This Row],[Unit_Price]]</f>
        <v>56227.359999999993</v>
      </c>
      <c r="O569" s="3">
        <f>Table1[[#This Row],[ Original_Spend ]]-Table1[[#This Row],[ Total_Spend ]]</f>
        <v>3176.7799999999988</v>
      </c>
      <c r="P569" s="2">
        <f t="shared" si="41"/>
        <v>5.6498829039812633E-2</v>
      </c>
      <c r="Q569" s="2">
        <f t="shared" si="42"/>
        <v>2.3086269744835967E-2</v>
      </c>
      <c r="R569" t="str">
        <f t="shared" si="43"/>
        <v>On Time</v>
      </c>
      <c r="S569" t="str">
        <f t="shared" si="44"/>
        <v>OK</v>
      </c>
    </row>
    <row r="570" spans="1:19" x14ac:dyDescent="0.25">
      <c r="A570" t="s">
        <v>595</v>
      </c>
      <c r="B570" t="s">
        <v>23</v>
      </c>
      <c r="C570" s="1">
        <v>45014</v>
      </c>
      <c r="D570" s="1">
        <v>45031</v>
      </c>
      <c r="E570" t="s">
        <v>39</v>
      </c>
      <c r="F570" t="s">
        <v>18</v>
      </c>
      <c r="G570">
        <v>926</v>
      </c>
      <c r="H570" s="3">
        <v>15.65</v>
      </c>
      <c r="I570" s="3">
        <v>13.49</v>
      </c>
      <c r="J570">
        <v>94</v>
      </c>
      <c r="K570" t="s">
        <v>27</v>
      </c>
      <c r="L570">
        <f t="shared" si="40"/>
        <v>17</v>
      </c>
      <c r="M570" s="3">
        <f>Table1[[#This Row],[Quantity]]*Table1[[#This Row],[Negotiated_Price]]</f>
        <v>12491.74</v>
      </c>
      <c r="N570" s="3">
        <f>Table1[[#This Row],[Quantity]]*Table1[[#This Row],[Unit_Price]]</f>
        <v>14491.9</v>
      </c>
      <c r="O570" s="3">
        <f>Table1[[#This Row],[ Original_Spend ]]-Table1[[#This Row],[ Total_Spend ]]</f>
        <v>2000.1599999999999</v>
      </c>
      <c r="P570" s="2">
        <f t="shared" si="41"/>
        <v>0.13801916932907349</v>
      </c>
      <c r="Q570" s="2">
        <f t="shared" si="42"/>
        <v>0.10151187904967603</v>
      </c>
      <c r="R570" t="str">
        <f t="shared" si="43"/>
        <v>Late</v>
      </c>
      <c r="S570" t="str">
        <f t="shared" si="44"/>
        <v>OK</v>
      </c>
    </row>
    <row r="571" spans="1:19" x14ac:dyDescent="0.25">
      <c r="A571" t="s">
        <v>596</v>
      </c>
      <c r="B571" t="s">
        <v>17</v>
      </c>
      <c r="C571" s="1">
        <v>45014</v>
      </c>
      <c r="D571" s="1">
        <v>45025</v>
      </c>
      <c r="E571" t="s">
        <v>39</v>
      </c>
      <c r="F571" t="s">
        <v>14</v>
      </c>
      <c r="G571">
        <v>1041</v>
      </c>
      <c r="H571" s="3">
        <v>58.5</v>
      </c>
      <c r="I571" s="3">
        <v>52.54</v>
      </c>
      <c r="J571">
        <v>170</v>
      </c>
      <c r="K571" t="s">
        <v>27</v>
      </c>
      <c r="L571">
        <f t="shared" si="40"/>
        <v>11</v>
      </c>
      <c r="M571" s="3">
        <f>Table1[[#This Row],[Quantity]]*Table1[[#This Row],[Negotiated_Price]]</f>
        <v>54694.14</v>
      </c>
      <c r="N571" s="3">
        <f>Table1[[#This Row],[Quantity]]*Table1[[#This Row],[Unit_Price]]</f>
        <v>60898.5</v>
      </c>
      <c r="O571" s="3">
        <f>Table1[[#This Row],[ Original_Spend ]]-Table1[[#This Row],[ Total_Spend ]]</f>
        <v>6204.3600000000006</v>
      </c>
      <c r="P571" s="2">
        <f t="shared" si="41"/>
        <v>0.1018803418803419</v>
      </c>
      <c r="Q571" s="2">
        <f t="shared" si="42"/>
        <v>0.1633045148895293</v>
      </c>
      <c r="R571" t="str">
        <f t="shared" si="43"/>
        <v>Cancelled</v>
      </c>
      <c r="S571" t="str">
        <f t="shared" si="44"/>
        <v>Status-Date Conflict</v>
      </c>
    </row>
    <row r="572" spans="1:19" x14ac:dyDescent="0.25">
      <c r="A572" t="s">
        <v>597</v>
      </c>
      <c r="B572" t="s">
        <v>20</v>
      </c>
      <c r="C572" s="1">
        <v>45253</v>
      </c>
      <c r="D572" s="1">
        <v>45261</v>
      </c>
      <c r="E572" t="s">
        <v>39</v>
      </c>
      <c r="F572" t="s">
        <v>35</v>
      </c>
      <c r="G572">
        <v>933</v>
      </c>
      <c r="H572" s="3">
        <v>70.72</v>
      </c>
      <c r="I572" s="3">
        <v>65.47</v>
      </c>
      <c r="J572">
        <v>42</v>
      </c>
      <c r="K572" t="s">
        <v>15</v>
      </c>
      <c r="L572">
        <f t="shared" si="40"/>
        <v>8</v>
      </c>
      <c r="M572" s="3">
        <f>Table1[[#This Row],[Quantity]]*Table1[[#This Row],[Negotiated_Price]]</f>
        <v>61083.51</v>
      </c>
      <c r="N572" s="3">
        <f>Table1[[#This Row],[Quantity]]*Table1[[#This Row],[Unit_Price]]</f>
        <v>65981.759999999995</v>
      </c>
      <c r="O572" s="3">
        <f>Table1[[#This Row],[ Original_Spend ]]-Table1[[#This Row],[ Total_Spend ]]</f>
        <v>4898.2499999999927</v>
      </c>
      <c r="P572" s="2">
        <f t="shared" si="41"/>
        <v>7.4236425339366405E-2</v>
      </c>
      <c r="Q572" s="2">
        <f t="shared" si="42"/>
        <v>4.5016077170418008E-2</v>
      </c>
      <c r="R572" t="str">
        <f t="shared" si="43"/>
        <v>Pending</v>
      </c>
      <c r="S572" t="str">
        <f t="shared" si="44"/>
        <v>Status-Date Conflict</v>
      </c>
    </row>
    <row r="573" spans="1:19" x14ac:dyDescent="0.25">
      <c r="A573" t="s">
        <v>598</v>
      </c>
      <c r="B573" t="s">
        <v>17</v>
      </c>
      <c r="C573" s="1">
        <v>44780</v>
      </c>
      <c r="E573" t="s">
        <v>26</v>
      </c>
      <c r="F573" t="s">
        <v>18</v>
      </c>
      <c r="G573">
        <v>1423</v>
      </c>
      <c r="H573" s="3">
        <v>41.48</v>
      </c>
      <c r="I573" s="3">
        <v>40.9</v>
      </c>
      <c r="J573">
        <v>199</v>
      </c>
      <c r="K573" t="s">
        <v>15</v>
      </c>
      <c r="L573" t="str">
        <f t="shared" si="40"/>
        <v/>
      </c>
      <c r="M573" s="3">
        <f>Table1[[#This Row],[Quantity]]*Table1[[#This Row],[Negotiated_Price]]</f>
        <v>58200.7</v>
      </c>
      <c r="N573" s="3">
        <f>Table1[[#This Row],[Quantity]]*Table1[[#This Row],[Unit_Price]]</f>
        <v>59026.039999999994</v>
      </c>
      <c r="O573" s="3">
        <f>Table1[[#This Row],[ Original_Spend ]]-Table1[[#This Row],[ Total_Spend ]]</f>
        <v>825.33999999999651</v>
      </c>
      <c r="P573" s="2">
        <f t="shared" si="41"/>
        <v>1.39826422372227E-2</v>
      </c>
      <c r="Q573" s="2">
        <f t="shared" si="42"/>
        <v>0.13984539704848911</v>
      </c>
      <c r="R573" t="str">
        <f t="shared" si="43"/>
        <v>Missing Delivery Date</v>
      </c>
      <c r="S573" t="str">
        <f t="shared" si="44"/>
        <v>Missing Delivery Date</v>
      </c>
    </row>
    <row r="574" spans="1:19" x14ac:dyDescent="0.25">
      <c r="A574" t="s">
        <v>599</v>
      </c>
      <c r="B574" t="s">
        <v>17</v>
      </c>
      <c r="C574" s="1">
        <v>45085</v>
      </c>
      <c r="D574" s="1">
        <v>45091</v>
      </c>
      <c r="E574" t="s">
        <v>21</v>
      </c>
      <c r="F574" t="s">
        <v>18</v>
      </c>
      <c r="G574">
        <v>96</v>
      </c>
      <c r="H574" s="3">
        <v>86.13</v>
      </c>
      <c r="I574" s="3">
        <v>80.319999999999993</v>
      </c>
      <c r="J574">
        <v>12</v>
      </c>
      <c r="K574" t="s">
        <v>27</v>
      </c>
      <c r="L574">
        <f t="shared" si="40"/>
        <v>6</v>
      </c>
      <c r="M574" s="3">
        <f>Table1[[#This Row],[Quantity]]*Table1[[#This Row],[Negotiated_Price]]</f>
        <v>7710.7199999999993</v>
      </c>
      <c r="N574" s="3">
        <f>Table1[[#This Row],[Quantity]]*Table1[[#This Row],[Unit_Price]]</f>
        <v>8268.48</v>
      </c>
      <c r="O574" s="3">
        <f>Table1[[#This Row],[ Original_Spend ]]-Table1[[#This Row],[ Total_Spend ]]</f>
        <v>557.76000000000022</v>
      </c>
      <c r="P574" s="2">
        <f t="shared" si="41"/>
        <v>6.7456170904446791E-2</v>
      </c>
      <c r="Q574" s="2">
        <f t="shared" si="42"/>
        <v>0.125</v>
      </c>
      <c r="R574" t="str">
        <f t="shared" si="43"/>
        <v>On Time</v>
      </c>
      <c r="S574" t="str">
        <f t="shared" si="44"/>
        <v>OK</v>
      </c>
    </row>
    <row r="575" spans="1:19" x14ac:dyDescent="0.25">
      <c r="A575" t="s">
        <v>600</v>
      </c>
      <c r="B575" t="s">
        <v>29</v>
      </c>
      <c r="C575" s="1">
        <v>45046</v>
      </c>
      <c r="D575" s="1">
        <v>45059</v>
      </c>
      <c r="E575" t="s">
        <v>21</v>
      </c>
      <c r="F575" t="s">
        <v>18</v>
      </c>
      <c r="G575">
        <v>916</v>
      </c>
      <c r="H575" s="3">
        <v>21.06</v>
      </c>
      <c r="I575" s="3">
        <v>19.53</v>
      </c>
      <c r="J575">
        <v>25</v>
      </c>
      <c r="K575" t="s">
        <v>15</v>
      </c>
      <c r="L575">
        <f t="shared" si="40"/>
        <v>13</v>
      </c>
      <c r="M575" s="3">
        <f>Table1[[#This Row],[Quantity]]*Table1[[#This Row],[Negotiated_Price]]</f>
        <v>17889.48</v>
      </c>
      <c r="N575" s="3">
        <f>Table1[[#This Row],[Quantity]]*Table1[[#This Row],[Unit_Price]]</f>
        <v>19290.96</v>
      </c>
      <c r="O575" s="3">
        <f>Table1[[#This Row],[ Original_Spend ]]-Table1[[#This Row],[ Total_Spend ]]</f>
        <v>1401.4799999999996</v>
      </c>
      <c r="P575" s="2">
        <f t="shared" si="41"/>
        <v>7.2649572649572627E-2</v>
      </c>
      <c r="Q575" s="2">
        <f t="shared" si="42"/>
        <v>2.7292576419213975E-2</v>
      </c>
      <c r="R575" t="str">
        <f t="shared" si="43"/>
        <v>Late</v>
      </c>
      <c r="S575" t="str">
        <f t="shared" si="44"/>
        <v>OK</v>
      </c>
    </row>
    <row r="576" spans="1:19" x14ac:dyDescent="0.25">
      <c r="A576" t="s">
        <v>601</v>
      </c>
      <c r="B576" t="s">
        <v>29</v>
      </c>
      <c r="C576" s="1">
        <v>44735</v>
      </c>
      <c r="E576" t="s">
        <v>26</v>
      </c>
      <c r="F576" t="s">
        <v>18</v>
      </c>
      <c r="G576">
        <v>872</v>
      </c>
      <c r="H576" s="3">
        <v>17.18</v>
      </c>
      <c r="I576" s="3">
        <v>16.63</v>
      </c>
      <c r="J576">
        <v>20</v>
      </c>
      <c r="K576" t="s">
        <v>15</v>
      </c>
      <c r="L576" t="str">
        <f t="shared" si="40"/>
        <v/>
      </c>
      <c r="M576" s="3">
        <f>Table1[[#This Row],[Quantity]]*Table1[[#This Row],[Negotiated_Price]]</f>
        <v>14501.359999999999</v>
      </c>
      <c r="N576" s="3">
        <f>Table1[[#This Row],[Quantity]]*Table1[[#This Row],[Unit_Price]]</f>
        <v>14980.96</v>
      </c>
      <c r="O576" s="3">
        <f>Table1[[#This Row],[ Original_Spend ]]-Table1[[#This Row],[ Total_Spend ]]</f>
        <v>479.60000000000036</v>
      </c>
      <c r="P576" s="2">
        <f t="shared" si="41"/>
        <v>3.2013969732246822E-2</v>
      </c>
      <c r="Q576" s="2">
        <f t="shared" si="42"/>
        <v>2.2935779816513763E-2</v>
      </c>
      <c r="R576" t="str">
        <f t="shared" si="43"/>
        <v>Missing Delivery Date</v>
      </c>
      <c r="S576" t="str">
        <f t="shared" si="44"/>
        <v>Missing Delivery Date</v>
      </c>
    </row>
    <row r="577" spans="1:19" x14ac:dyDescent="0.25">
      <c r="A577" t="s">
        <v>602</v>
      </c>
      <c r="B577" t="s">
        <v>23</v>
      </c>
      <c r="C577" s="1">
        <v>45236</v>
      </c>
      <c r="D577" s="1">
        <v>45245</v>
      </c>
      <c r="E577" t="s">
        <v>39</v>
      </c>
      <c r="F577" t="s">
        <v>18</v>
      </c>
      <c r="G577">
        <v>985</v>
      </c>
      <c r="H577" s="3">
        <v>83.85</v>
      </c>
      <c r="I577" s="3">
        <v>80.88</v>
      </c>
      <c r="K577" t="s">
        <v>27</v>
      </c>
      <c r="L577">
        <f t="shared" si="40"/>
        <v>9</v>
      </c>
      <c r="M577" s="3">
        <f>Table1[[#This Row],[Quantity]]*Table1[[#This Row],[Negotiated_Price]]</f>
        <v>79666.799999999988</v>
      </c>
      <c r="N577" s="3">
        <f>Table1[[#This Row],[Quantity]]*Table1[[#This Row],[Unit_Price]]</f>
        <v>82592.25</v>
      </c>
      <c r="O577" s="3">
        <f>Table1[[#This Row],[ Original_Spend ]]-Table1[[#This Row],[ Total_Spend ]]</f>
        <v>2925.4500000000116</v>
      </c>
      <c r="P577" s="2">
        <f t="shared" si="41"/>
        <v>3.5420393559928584E-2</v>
      </c>
      <c r="Q577" s="2">
        <f t="shared" si="42"/>
        <v>0</v>
      </c>
      <c r="R577" t="str">
        <f t="shared" si="43"/>
        <v>On Time</v>
      </c>
      <c r="S577" t="str">
        <f t="shared" si="44"/>
        <v>OK</v>
      </c>
    </row>
    <row r="578" spans="1:19" x14ac:dyDescent="0.25">
      <c r="A578" t="s">
        <v>603</v>
      </c>
      <c r="B578" t="s">
        <v>20</v>
      </c>
      <c r="C578" s="1">
        <v>44648</v>
      </c>
      <c r="D578" s="1">
        <v>44655</v>
      </c>
      <c r="E578" t="s">
        <v>26</v>
      </c>
      <c r="F578" t="s">
        <v>18</v>
      </c>
      <c r="G578">
        <v>1893</v>
      </c>
      <c r="H578" s="3">
        <v>55.14</v>
      </c>
      <c r="I578" s="3">
        <v>50.1</v>
      </c>
      <c r="J578">
        <v>98</v>
      </c>
      <c r="K578" t="s">
        <v>15</v>
      </c>
      <c r="L578">
        <f t="shared" ref="L578:L641" si="45">IF(OR(C578="",D578=""),"",D578-C578)</f>
        <v>7</v>
      </c>
      <c r="M578" s="3">
        <f>Table1[[#This Row],[Quantity]]*Table1[[#This Row],[Negotiated_Price]]</f>
        <v>94839.3</v>
      </c>
      <c r="N578" s="3">
        <f>Table1[[#This Row],[Quantity]]*Table1[[#This Row],[Unit_Price]]</f>
        <v>104380.02</v>
      </c>
      <c r="O578" s="3">
        <f>Table1[[#This Row],[ Original_Spend ]]-Table1[[#This Row],[ Total_Spend ]]</f>
        <v>9540.7200000000012</v>
      </c>
      <c r="P578" s="2">
        <f t="shared" ref="P578:P641" si="46">IFERROR(O578/N578,0)</f>
        <v>9.1403699673558228E-2</v>
      </c>
      <c r="Q578" s="2">
        <f t="shared" ref="Q578:Q641" si="47">IFERROR(J578/G578,0)</f>
        <v>5.1769677760169046E-2</v>
      </c>
      <c r="R578" t="str">
        <f t="shared" si="43"/>
        <v>On Time</v>
      </c>
      <c r="S578" t="str">
        <f t="shared" si="44"/>
        <v>OK</v>
      </c>
    </row>
    <row r="579" spans="1:19" x14ac:dyDescent="0.25">
      <c r="A579" t="s">
        <v>604</v>
      </c>
      <c r="B579" t="s">
        <v>12</v>
      </c>
      <c r="C579" s="1">
        <v>44852</v>
      </c>
      <c r="E579" t="s">
        <v>21</v>
      </c>
      <c r="F579" t="s">
        <v>18</v>
      </c>
      <c r="G579">
        <v>705</v>
      </c>
      <c r="H579" s="3">
        <v>75.19</v>
      </c>
      <c r="I579" s="3">
        <v>69.55</v>
      </c>
      <c r="J579">
        <v>19</v>
      </c>
      <c r="K579" t="s">
        <v>15</v>
      </c>
      <c r="L579" t="str">
        <f t="shared" si="45"/>
        <v/>
      </c>
      <c r="M579" s="3">
        <f>Table1[[#This Row],[Quantity]]*Table1[[#This Row],[Negotiated_Price]]</f>
        <v>49032.75</v>
      </c>
      <c r="N579" s="3">
        <f>Table1[[#This Row],[Quantity]]*Table1[[#This Row],[Unit_Price]]</f>
        <v>53008.95</v>
      </c>
      <c r="O579" s="3">
        <f>Table1[[#This Row],[ Original_Spend ]]-Table1[[#This Row],[ Total_Spend ]]</f>
        <v>3976.1999999999971</v>
      </c>
      <c r="P579" s="2">
        <f t="shared" si="46"/>
        <v>7.5009974730682216E-2</v>
      </c>
      <c r="Q579" s="2">
        <f t="shared" si="47"/>
        <v>2.6950354609929079E-2</v>
      </c>
      <c r="R579" t="str">
        <f t="shared" ref="R579:R642" si="48">IF(F579&lt;&gt;"Delivered",F579,IF(D579="","Missing Delivery Date",IF(L579&lt;=10,"On Time","Late")))</f>
        <v>Missing Delivery Date</v>
      </c>
      <c r="S579" t="str">
        <f t="shared" ref="S579:S642" si="49">IF(AND(F579&lt;&gt;"Delivered",D579&lt;&gt;""),"Status-Date Conflict",IF(AND(F579="Delivered",D579=""),"Missing Delivery Date","OK"))</f>
        <v>Missing Delivery Date</v>
      </c>
    </row>
    <row r="580" spans="1:19" x14ac:dyDescent="0.25">
      <c r="A580" t="s">
        <v>605</v>
      </c>
      <c r="B580" t="s">
        <v>17</v>
      </c>
      <c r="C580" s="1">
        <v>45089</v>
      </c>
      <c r="D580" s="1">
        <v>45105</v>
      </c>
      <c r="E580" t="s">
        <v>21</v>
      </c>
      <c r="F580" t="s">
        <v>18</v>
      </c>
      <c r="G580">
        <v>318</v>
      </c>
      <c r="H580" s="3">
        <v>53.31</v>
      </c>
      <c r="I580" s="3">
        <v>51.78</v>
      </c>
      <c r="K580" t="s">
        <v>27</v>
      </c>
      <c r="L580">
        <f t="shared" si="45"/>
        <v>16</v>
      </c>
      <c r="M580" s="3">
        <f>Table1[[#This Row],[Quantity]]*Table1[[#This Row],[Negotiated_Price]]</f>
        <v>16466.04</v>
      </c>
      <c r="N580" s="3">
        <f>Table1[[#This Row],[Quantity]]*Table1[[#This Row],[Unit_Price]]</f>
        <v>16952.580000000002</v>
      </c>
      <c r="O580" s="3">
        <f>Table1[[#This Row],[ Original_Spend ]]-Table1[[#This Row],[ Total_Spend ]]</f>
        <v>486.54000000000087</v>
      </c>
      <c r="P580" s="2">
        <f t="shared" si="46"/>
        <v>2.8700056274620196E-2</v>
      </c>
      <c r="Q580" s="2">
        <f t="shared" si="47"/>
        <v>0</v>
      </c>
      <c r="R580" t="str">
        <f t="shared" si="48"/>
        <v>Late</v>
      </c>
      <c r="S580" t="str">
        <f t="shared" si="49"/>
        <v>OK</v>
      </c>
    </row>
    <row r="581" spans="1:19" x14ac:dyDescent="0.25">
      <c r="A581" t="s">
        <v>606</v>
      </c>
      <c r="B581" t="s">
        <v>12</v>
      </c>
      <c r="C581" s="1">
        <v>45241</v>
      </c>
      <c r="D581" s="1">
        <v>45246</v>
      </c>
      <c r="E581" t="s">
        <v>13</v>
      </c>
      <c r="F581" t="s">
        <v>35</v>
      </c>
      <c r="G581">
        <v>419</v>
      </c>
      <c r="H581" s="3">
        <v>35.72</v>
      </c>
      <c r="I581" s="3">
        <v>32.74</v>
      </c>
      <c r="J581">
        <v>7</v>
      </c>
      <c r="K581" t="s">
        <v>15</v>
      </c>
      <c r="L581">
        <f t="shared" si="45"/>
        <v>5</v>
      </c>
      <c r="M581" s="3">
        <f>Table1[[#This Row],[Quantity]]*Table1[[#This Row],[Negotiated_Price]]</f>
        <v>13718.060000000001</v>
      </c>
      <c r="N581" s="3">
        <f>Table1[[#This Row],[Quantity]]*Table1[[#This Row],[Unit_Price]]</f>
        <v>14966.68</v>
      </c>
      <c r="O581" s="3">
        <f>Table1[[#This Row],[ Original_Spend ]]-Table1[[#This Row],[ Total_Spend ]]</f>
        <v>1248.619999999999</v>
      </c>
      <c r="P581" s="2">
        <f t="shared" si="46"/>
        <v>8.342665173572221E-2</v>
      </c>
      <c r="Q581" s="2">
        <f t="shared" si="47"/>
        <v>1.6706443914081145E-2</v>
      </c>
      <c r="R581" t="str">
        <f t="shared" si="48"/>
        <v>Pending</v>
      </c>
      <c r="S581" t="str">
        <f t="shared" si="49"/>
        <v>Status-Date Conflict</v>
      </c>
    </row>
    <row r="582" spans="1:19" x14ac:dyDescent="0.25">
      <c r="A582" t="s">
        <v>607</v>
      </c>
      <c r="B582" t="s">
        <v>20</v>
      </c>
      <c r="C582" s="1">
        <v>45210</v>
      </c>
      <c r="D582" s="1">
        <v>45225</v>
      </c>
      <c r="E582" t="s">
        <v>21</v>
      </c>
      <c r="F582" t="s">
        <v>18</v>
      </c>
      <c r="G582">
        <v>685</v>
      </c>
      <c r="H582" s="3">
        <v>92.51</v>
      </c>
      <c r="I582" s="3">
        <v>90.05</v>
      </c>
      <c r="J582">
        <v>38</v>
      </c>
      <c r="K582" t="s">
        <v>15</v>
      </c>
      <c r="L582">
        <f t="shared" si="45"/>
        <v>15</v>
      </c>
      <c r="M582" s="3">
        <f>Table1[[#This Row],[Quantity]]*Table1[[#This Row],[Negotiated_Price]]</f>
        <v>61684.25</v>
      </c>
      <c r="N582" s="3">
        <f>Table1[[#This Row],[Quantity]]*Table1[[#This Row],[Unit_Price]]</f>
        <v>63369.350000000006</v>
      </c>
      <c r="O582" s="3">
        <f>Table1[[#This Row],[ Original_Spend ]]-Table1[[#This Row],[ Total_Spend ]]</f>
        <v>1685.1000000000058</v>
      </c>
      <c r="P582" s="2">
        <f t="shared" si="46"/>
        <v>2.6591719814074245E-2</v>
      </c>
      <c r="Q582" s="2">
        <f t="shared" si="47"/>
        <v>5.5474452554744529E-2</v>
      </c>
      <c r="R582" t="str">
        <f t="shared" si="48"/>
        <v>Late</v>
      </c>
      <c r="S582" t="str">
        <f t="shared" si="49"/>
        <v>OK</v>
      </c>
    </row>
    <row r="583" spans="1:19" x14ac:dyDescent="0.25">
      <c r="A583" t="s">
        <v>608</v>
      </c>
      <c r="B583" t="s">
        <v>17</v>
      </c>
      <c r="C583" s="1">
        <v>45196</v>
      </c>
      <c r="D583" s="1">
        <v>45211</v>
      </c>
      <c r="E583" t="s">
        <v>13</v>
      </c>
      <c r="F583" t="s">
        <v>33</v>
      </c>
      <c r="G583">
        <v>1179</v>
      </c>
      <c r="H583" s="3">
        <v>90.14</v>
      </c>
      <c r="I583" s="3">
        <v>82.63</v>
      </c>
      <c r="J583">
        <v>194</v>
      </c>
      <c r="K583" t="s">
        <v>15</v>
      </c>
      <c r="L583">
        <f t="shared" si="45"/>
        <v>15</v>
      </c>
      <c r="M583" s="3">
        <f>Table1[[#This Row],[Quantity]]*Table1[[#This Row],[Negotiated_Price]]</f>
        <v>97420.76999999999</v>
      </c>
      <c r="N583" s="3">
        <f>Table1[[#This Row],[Quantity]]*Table1[[#This Row],[Unit_Price]]</f>
        <v>106275.06</v>
      </c>
      <c r="O583" s="3">
        <f>Table1[[#This Row],[ Original_Spend ]]-Table1[[#This Row],[ Total_Spend ]]</f>
        <v>8854.2900000000081</v>
      </c>
      <c r="P583" s="2">
        <f t="shared" si="46"/>
        <v>8.3314843576658609E-2</v>
      </c>
      <c r="Q583" s="2">
        <f t="shared" si="47"/>
        <v>0.1645462256149279</v>
      </c>
      <c r="R583" t="str">
        <f t="shared" si="48"/>
        <v>Partially Delivered</v>
      </c>
      <c r="S583" t="str">
        <f t="shared" si="49"/>
        <v>Status-Date Conflict</v>
      </c>
    </row>
    <row r="584" spans="1:19" x14ac:dyDescent="0.25">
      <c r="A584" t="s">
        <v>609</v>
      </c>
      <c r="B584" t="s">
        <v>12</v>
      </c>
      <c r="C584" s="1">
        <v>44905</v>
      </c>
      <c r="E584" t="s">
        <v>26</v>
      </c>
      <c r="F584" t="s">
        <v>18</v>
      </c>
      <c r="G584">
        <v>1743</v>
      </c>
      <c r="H584" s="3">
        <v>76.510000000000005</v>
      </c>
      <c r="I584" s="3">
        <v>65.88</v>
      </c>
      <c r="J584">
        <v>40</v>
      </c>
      <c r="K584" t="s">
        <v>15</v>
      </c>
      <c r="L584" t="str">
        <f t="shared" si="45"/>
        <v/>
      </c>
      <c r="M584" s="3">
        <f>Table1[[#This Row],[Quantity]]*Table1[[#This Row],[Negotiated_Price]]</f>
        <v>114828.84</v>
      </c>
      <c r="N584" s="3">
        <f>Table1[[#This Row],[Quantity]]*Table1[[#This Row],[Unit_Price]]</f>
        <v>133356.93000000002</v>
      </c>
      <c r="O584" s="3">
        <f>Table1[[#This Row],[ Original_Spend ]]-Table1[[#This Row],[ Total_Spend ]]</f>
        <v>18528.090000000026</v>
      </c>
      <c r="P584" s="2">
        <f t="shared" si="46"/>
        <v>0.13893608678604122</v>
      </c>
      <c r="Q584" s="2">
        <f t="shared" si="47"/>
        <v>2.2948938611589215E-2</v>
      </c>
      <c r="R584" t="str">
        <f t="shared" si="48"/>
        <v>Missing Delivery Date</v>
      </c>
      <c r="S584" t="str">
        <f t="shared" si="49"/>
        <v>Missing Delivery Date</v>
      </c>
    </row>
    <row r="585" spans="1:19" x14ac:dyDescent="0.25">
      <c r="A585" t="s">
        <v>610</v>
      </c>
      <c r="B585" t="s">
        <v>12</v>
      </c>
      <c r="C585" s="1">
        <v>44657</v>
      </c>
      <c r="D585" s="1">
        <v>44668</v>
      </c>
      <c r="E585" t="s">
        <v>21</v>
      </c>
      <c r="F585" t="s">
        <v>18</v>
      </c>
      <c r="G585">
        <v>1732</v>
      </c>
      <c r="H585" s="3">
        <v>35.01</v>
      </c>
      <c r="I585" s="3">
        <v>34.18</v>
      </c>
      <c r="J585">
        <v>40</v>
      </c>
      <c r="K585" t="s">
        <v>15</v>
      </c>
      <c r="L585">
        <f t="shared" si="45"/>
        <v>11</v>
      </c>
      <c r="M585" s="3">
        <f>Table1[[#This Row],[Quantity]]*Table1[[#This Row],[Negotiated_Price]]</f>
        <v>59199.76</v>
      </c>
      <c r="N585" s="3">
        <f>Table1[[#This Row],[Quantity]]*Table1[[#This Row],[Unit_Price]]</f>
        <v>60637.32</v>
      </c>
      <c r="O585" s="3">
        <f>Table1[[#This Row],[ Original_Spend ]]-Table1[[#This Row],[ Total_Spend ]]</f>
        <v>1437.5599999999977</v>
      </c>
      <c r="P585" s="2">
        <f t="shared" si="46"/>
        <v>2.3707512139388709E-2</v>
      </c>
      <c r="Q585" s="2">
        <f t="shared" si="47"/>
        <v>2.3094688221709007E-2</v>
      </c>
      <c r="R585" t="str">
        <f t="shared" si="48"/>
        <v>Late</v>
      </c>
      <c r="S585" t="str">
        <f t="shared" si="49"/>
        <v>OK</v>
      </c>
    </row>
    <row r="586" spans="1:19" x14ac:dyDescent="0.25">
      <c r="A586" t="s">
        <v>611</v>
      </c>
      <c r="B586" t="s">
        <v>23</v>
      </c>
      <c r="C586" s="1">
        <v>44802</v>
      </c>
      <c r="D586" s="1">
        <v>44805</v>
      </c>
      <c r="E586" t="s">
        <v>13</v>
      </c>
      <c r="F586" t="s">
        <v>18</v>
      </c>
      <c r="G586">
        <v>706</v>
      </c>
      <c r="H586" s="3">
        <v>65.33</v>
      </c>
      <c r="I586" s="3">
        <v>62.06</v>
      </c>
      <c r="J586">
        <v>60</v>
      </c>
      <c r="K586" t="s">
        <v>27</v>
      </c>
      <c r="L586">
        <f t="shared" si="45"/>
        <v>3</v>
      </c>
      <c r="M586" s="3">
        <f>Table1[[#This Row],[Quantity]]*Table1[[#This Row],[Negotiated_Price]]</f>
        <v>43814.36</v>
      </c>
      <c r="N586" s="3">
        <f>Table1[[#This Row],[Quantity]]*Table1[[#This Row],[Unit_Price]]</f>
        <v>46122.979999999996</v>
      </c>
      <c r="O586" s="3">
        <f>Table1[[#This Row],[ Original_Spend ]]-Table1[[#This Row],[ Total_Spend ]]</f>
        <v>2308.6199999999953</v>
      </c>
      <c r="P586" s="2">
        <f t="shared" si="46"/>
        <v>5.0053574161946938E-2</v>
      </c>
      <c r="Q586" s="2">
        <f t="shared" si="47"/>
        <v>8.4985835694050993E-2</v>
      </c>
      <c r="R586" t="str">
        <f t="shared" si="48"/>
        <v>On Time</v>
      </c>
      <c r="S586" t="str">
        <f t="shared" si="49"/>
        <v>OK</v>
      </c>
    </row>
    <row r="587" spans="1:19" x14ac:dyDescent="0.25">
      <c r="A587" t="s">
        <v>612</v>
      </c>
      <c r="B587" t="s">
        <v>20</v>
      </c>
      <c r="C587" s="1">
        <v>45250</v>
      </c>
      <c r="D587" s="1">
        <v>45260</v>
      </c>
      <c r="E587" t="s">
        <v>21</v>
      </c>
      <c r="F587" t="s">
        <v>14</v>
      </c>
      <c r="G587">
        <v>169</v>
      </c>
      <c r="H587" s="3">
        <v>47.16</v>
      </c>
      <c r="I587" s="3">
        <v>43.4</v>
      </c>
      <c r="K587" t="s">
        <v>15</v>
      </c>
      <c r="L587">
        <f t="shared" si="45"/>
        <v>10</v>
      </c>
      <c r="M587" s="3">
        <f>Table1[[#This Row],[Quantity]]*Table1[[#This Row],[Negotiated_Price]]</f>
        <v>7334.5999999999995</v>
      </c>
      <c r="N587" s="3">
        <f>Table1[[#This Row],[Quantity]]*Table1[[#This Row],[Unit_Price]]</f>
        <v>7970.0399999999991</v>
      </c>
      <c r="O587" s="3">
        <f>Table1[[#This Row],[ Original_Spend ]]-Table1[[#This Row],[ Total_Spend ]]</f>
        <v>635.4399999999996</v>
      </c>
      <c r="P587" s="2">
        <f t="shared" si="46"/>
        <v>7.9728583545377402E-2</v>
      </c>
      <c r="Q587" s="2">
        <f t="shared" si="47"/>
        <v>0</v>
      </c>
      <c r="R587" t="str">
        <f t="shared" si="48"/>
        <v>Cancelled</v>
      </c>
      <c r="S587" t="str">
        <f t="shared" si="49"/>
        <v>Status-Date Conflict</v>
      </c>
    </row>
    <row r="588" spans="1:19" x14ac:dyDescent="0.25">
      <c r="A588" t="s">
        <v>613</v>
      </c>
      <c r="B588" t="s">
        <v>20</v>
      </c>
      <c r="C588" s="1">
        <v>44879</v>
      </c>
      <c r="D588" s="1">
        <v>44885</v>
      </c>
      <c r="E588" t="s">
        <v>13</v>
      </c>
      <c r="F588" t="s">
        <v>35</v>
      </c>
      <c r="G588">
        <v>880</v>
      </c>
      <c r="H588" s="3">
        <v>19.149999999999999</v>
      </c>
      <c r="I588" s="3">
        <v>18.690000000000001</v>
      </c>
      <c r="K588" t="s">
        <v>27</v>
      </c>
      <c r="L588">
        <f t="shared" si="45"/>
        <v>6</v>
      </c>
      <c r="M588" s="3">
        <f>Table1[[#This Row],[Quantity]]*Table1[[#This Row],[Negotiated_Price]]</f>
        <v>16447.2</v>
      </c>
      <c r="N588" s="3">
        <f>Table1[[#This Row],[Quantity]]*Table1[[#This Row],[Unit_Price]]</f>
        <v>16852</v>
      </c>
      <c r="O588" s="3">
        <f>Table1[[#This Row],[ Original_Spend ]]-Table1[[#This Row],[ Total_Spend ]]</f>
        <v>404.79999999999927</v>
      </c>
      <c r="P588" s="2">
        <f t="shared" si="46"/>
        <v>2.4020887728459488E-2</v>
      </c>
      <c r="Q588" s="2">
        <f t="shared" si="47"/>
        <v>0</v>
      </c>
      <c r="R588" t="str">
        <f t="shared" si="48"/>
        <v>Pending</v>
      </c>
      <c r="S588" t="str">
        <f t="shared" si="49"/>
        <v>Status-Date Conflict</v>
      </c>
    </row>
    <row r="589" spans="1:19" x14ac:dyDescent="0.25">
      <c r="A589" t="s">
        <v>614</v>
      </c>
      <c r="B589" t="s">
        <v>20</v>
      </c>
      <c r="C589" s="1">
        <v>44792</v>
      </c>
      <c r="D589" s="1">
        <v>44798</v>
      </c>
      <c r="E589" t="s">
        <v>21</v>
      </c>
      <c r="F589" t="s">
        <v>18</v>
      </c>
      <c r="G589">
        <v>1860</v>
      </c>
      <c r="H589" s="3">
        <v>95.8</v>
      </c>
      <c r="I589" s="3">
        <v>92.17</v>
      </c>
      <c r="J589">
        <v>105</v>
      </c>
      <c r="K589" t="s">
        <v>27</v>
      </c>
      <c r="L589">
        <f t="shared" si="45"/>
        <v>6</v>
      </c>
      <c r="M589" s="3">
        <f>Table1[[#This Row],[Quantity]]*Table1[[#This Row],[Negotiated_Price]]</f>
        <v>171436.2</v>
      </c>
      <c r="N589" s="3">
        <f>Table1[[#This Row],[Quantity]]*Table1[[#This Row],[Unit_Price]]</f>
        <v>178188</v>
      </c>
      <c r="O589" s="3">
        <f>Table1[[#This Row],[ Original_Spend ]]-Table1[[#This Row],[ Total_Spend ]]</f>
        <v>6751.7999999999884</v>
      </c>
      <c r="P589" s="2">
        <f t="shared" si="46"/>
        <v>3.7891440501043774E-2</v>
      </c>
      <c r="Q589" s="2">
        <f t="shared" si="47"/>
        <v>5.6451612903225805E-2</v>
      </c>
      <c r="R589" t="str">
        <f t="shared" si="48"/>
        <v>On Time</v>
      </c>
      <c r="S589" t="str">
        <f t="shared" si="49"/>
        <v>OK</v>
      </c>
    </row>
    <row r="590" spans="1:19" x14ac:dyDescent="0.25">
      <c r="A590" t="s">
        <v>615</v>
      </c>
      <c r="B590" t="s">
        <v>17</v>
      </c>
      <c r="C590" s="1">
        <v>44765</v>
      </c>
      <c r="D590" s="1">
        <v>44782</v>
      </c>
      <c r="E590" t="s">
        <v>21</v>
      </c>
      <c r="F590" t="s">
        <v>18</v>
      </c>
      <c r="G590">
        <v>1677</v>
      </c>
      <c r="H590" s="3">
        <v>22.98</v>
      </c>
      <c r="I590" s="3">
        <v>21.71</v>
      </c>
      <c r="J590">
        <v>246</v>
      </c>
      <c r="K590" t="s">
        <v>15</v>
      </c>
      <c r="L590">
        <f t="shared" si="45"/>
        <v>17</v>
      </c>
      <c r="M590" s="3">
        <f>Table1[[#This Row],[Quantity]]*Table1[[#This Row],[Negotiated_Price]]</f>
        <v>36407.67</v>
      </c>
      <c r="N590" s="3">
        <f>Table1[[#This Row],[Quantity]]*Table1[[#This Row],[Unit_Price]]</f>
        <v>38537.46</v>
      </c>
      <c r="O590" s="3">
        <f>Table1[[#This Row],[ Original_Spend ]]-Table1[[#This Row],[ Total_Spend ]]</f>
        <v>2129.7900000000009</v>
      </c>
      <c r="P590" s="2">
        <f t="shared" si="46"/>
        <v>5.5265448215839882E-2</v>
      </c>
      <c r="Q590" s="2">
        <f t="shared" si="47"/>
        <v>0.14669051878354203</v>
      </c>
      <c r="R590" t="str">
        <f t="shared" si="48"/>
        <v>Late</v>
      </c>
      <c r="S590" t="str">
        <f t="shared" si="49"/>
        <v>OK</v>
      </c>
    </row>
    <row r="591" spans="1:19" x14ac:dyDescent="0.25">
      <c r="A591" t="s">
        <v>616</v>
      </c>
      <c r="B591" t="s">
        <v>23</v>
      </c>
      <c r="C591" s="1">
        <v>44712</v>
      </c>
      <c r="D591" s="1">
        <v>44719</v>
      </c>
      <c r="E591" t="s">
        <v>24</v>
      </c>
      <c r="F591" t="s">
        <v>33</v>
      </c>
      <c r="G591">
        <v>1131</v>
      </c>
      <c r="H591" s="3">
        <v>97.43</v>
      </c>
      <c r="I591" s="3">
        <v>91.28</v>
      </c>
      <c r="J591">
        <v>103</v>
      </c>
      <c r="K591" t="s">
        <v>15</v>
      </c>
      <c r="L591">
        <f t="shared" si="45"/>
        <v>7</v>
      </c>
      <c r="M591" s="3">
        <f>Table1[[#This Row],[Quantity]]*Table1[[#This Row],[Negotiated_Price]]</f>
        <v>103237.68000000001</v>
      </c>
      <c r="N591" s="3">
        <f>Table1[[#This Row],[Quantity]]*Table1[[#This Row],[Unit_Price]]</f>
        <v>110193.33</v>
      </c>
      <c r="O591" s="3">
        <f>Table1[[#This Row],[ Original_Spend ]]-Table1[[#This Row],[ Total_Spend ]]</f>
        <v>6955.6499999999942</v>
      </c>
      <c r="P591" s="2">
        <f t="shared" si="46"/>
        <v>6.3122241609360516E-2</v>
      </c>
      <c r="Q591" s="2">
        <f t="shared" si="47"/>
        <v>9.1069849690539342E-2</v>
      </c>
      <c r="R591" t="str">
        <f t="shared" si="48"/>
        <v>Partially Delivered</v>
      </c>
      <c r="S591" t="str">
        <f t="shared" si="49"/>
        <v>Status-Date Conflict</v>
      </c>
    </row>
    <row r="592" spans="1:19" x14ac:dyDescent="0.25">
      <c r="A592" t="s">
        <v>617</v>
      </c>
      <c r="B592" t="s">
        <v>29</v>
      </c>
      <c r="C592" s="1">
        <v>44587</v>
      </c>
      <c r="D592" s="1">
        <v>44595</v>
      </c>
      <c r="E592" t="s">
        <v>26</v>
      </c>
      <c r="F592" t="s">
        <v>14</v>
      </c>
      <c r="G592">
        <v>1419</v>
      </c>
      <c r="H592" s="3">
        <v>50.14</v>
      </c>
      <c r="I592" s="3">
        <v>43.46</v>
      </c>
      <c r="K592" t="s">
        <v>15</v>
      </c>
      <c r="L592">
        <f t="shared" si="45"/>
        <v>8</v>
      </c>
      <c r="M592" s="3">
        <f>Table1[[#This Row],[Quantity]]*Table1[[#This Row],[Negotiated_Price]]</f>
        <v>61669.74</v>
      </c>
      <c r="N592" s="3">
        <f>Table1[[#This Row],[Quantity]]*Table1[[#This Row],[Unit_Price]]</f>
        <v>71148.66</v>
      </c>
      <c r="O592" s="3">
        <f>Table1[[#This Row],[ Original_Spend ]]-Table1[[#This Row],[ Total_Spend ]]</f>
        <v>9478.9200000000055</v>
      </c>
      <c r="P592" s="2">
        <f t="shared" si="46"/>
        <v>0.13322696449940175</v>
      </c>
      <c r="Q592" s="2">
        <f t="shared" si="47"/>
        <v>0</v>
      </c>
      <c r="R592" t="str">
        <f t="shared" si="48"/>
        <v>Cancelled</v>
      </c>
      <c r="S592" t="str">
        <f t="shared" si="49"/>
        <v>Status-Date Conflict</v>
      </c>
    </row>
    <row r="593" spans="1:19" x14ac:dyDescent="0.25">
      <c r="A593" t="s">
        <v>618</v>
      </c>
      <c r="B593" t="s">
        <v>17</v>
      </c>
      <c r="C593" s="1">
        <v>44609</v>
      </c>
      <c r="D593" s="1">
        <v>44610</v>
      </c>
      <c r="E593" t="s">
        <v>26</v>
      </c>
      <c r="F593" t="s">
        <v>35</v>
      </c>
      <c r="G593">
        <v>790</v>
      </c>
      <c r="H593" s="3">
        <v>26.8</v>
      </c>
      <c r="I593" s="3">
        <v>25.62</v>
      </c>
      <c r="J593">
        <v>115</v>
      </c>
      <c r="K593" t="s">
        <v>15</v>
      </c>
      <c r="L593">
        <f t="shared" si="45"/>
        <v>1</v>
      </c>
      <c r="M593" s="3">
        <f>Table1[[#This Row],[Quantity]]*Table1[[#This Row],[Negotiated_Price]]</f>
        <v>20239.8</v>
      </c>
      <c r="N593" s="3">
        <f>Table1[[#This Row],[Quantity]]*Table1[[#This Row],[Unit_Price]]</f>
        <v>21172</v>
      </c>
      <c r="O593" s="3">
        <f>Table1[[#This Row],[ Original_Spend ]]-Table1[[#This Row],[ Total_Spend ]]</f>
        <v>932.20000000000073</v>
      </c>
      <c r="P593" s="2">
        <f t="shared" si="46"/>
        <v>4.4029850746268688E-2</v>
      </c>
      <c r="Q593" s="2">
        <f t="shared" si="47"/>
        <v>0.14556962025316456</v>
      </c>
      <c r="R593" t="str">
        <f t="shared" si="48"/>
        <v>Pending</v>
      </c>
      <c r="S593" t="str">
        <f t="shared" si="49"/>
        <v>Status-Date Conflict</v>
      </c>
    </row>
    <row r="594" spans="1:19" x14ac:dyDescent="0.25">
      <c r="A594" t="s">
        <v>619</v>
      </c>
      <c r="B594" t="s">
        <v>20</v>
      </c>
      <c r="C594" s="1">
        <v>44812</v>
      </c>
      <c r="D594" s="1">
        <v>44831</v>
      </c>
      <c r="E594" t="s">
        <v>21</v>
      </c>
      <c r="F594" t="s">
        <v>35</v>
      </c>
      <c r="G594">
        <v>1547</v>
      </c>
      <c r="H594" s="3">
        <v>61.12</v>
      </c>
      <c r="I594" s="3">
        <v>53.43</v>
      </c>
      <c r="J594">
        <v>77</v>
      </c>
      <c r="K594" t="s">
        <v>15</v>
      </c>
      <c r="L594">
        <f>IF(OR(C594="",D594=""),"",D594-C594)</f>
        <v>19</v>
      </c>
      <c r="M594" s="3">
        <f>Table1[[#This Row],[Quantity]]*Table1[[#This Row],[Negotiated_Price]]</f>
        <v>82656.210000000006</v>
      </c>
      <c r="N594" s="3">
        <f>Table1[[#This Row],[Quantity]]*Table1[[#This Row],[Unit_Price]]</f>
        <v>94552.639999999999</v>
      </c>
      <c r="O594" s="3">
        <f>Table1[[#This Row],[ Original_Spend ]]-Table1[[#This Row],[ Total_Spend ]]</f>
        <v>11896.429999999993</v>
      </c>
      <c r="P594" s="2">
        <f t="shared" si="46"/>
        <v>0.12581806282722505</v>
      </c>
      <c r="Q594" s="2">
        <f t="shared" si="47"/>
        <v>4.9773755656108594E-2</v>
      </c>
      <c r="R594" t="str">
        <f t="shared" si="48"/>
        <v>Pending</v>
      </c>
      <c r="S594" t="str">
        <f t="shared" si="49"/>
        <v>Status-Date Conflict</v>
      </c>
    </row>
    <row r="595" spans="1:19" x14ac:dyDescent="0.25">
      <c r="A595" t="s">
        <v>620</v>
      </c>
      <c r="B595" t="s">
        <v>17</v>
      </c>
      <c r="C595" s="1">
        <v>45048</v>
      </c>
      <c r="D595" s="1">
        <v>45066</v>
      </c>
      <c r="E595" t="s">
        <v>13</v>
      </c>
      <c r="F595" t="s">
        <v>14</v>
      </c>
      <c r="G595">
        <v>166</v>
      </c>
      <c r="H595" s="3">
        <v>95.65</v>
      </c>
      <c r="I595" s="3">
        <v>94.48</v>
      </c>
      <c r="J595">
        <v>23</v>
      </c>
      <c r="K595" t="s">
        <v>15</v>
      </c>
      <c r="L595">
        <f t="shared" si="45"/>
        <v>18</v>
      </c>
      <c r="M595" s="3">
        <f>Table1[[#This Row],[Quantity]]*Table1[[#This Row],[Negotiated_Price]]</f>
        <v>15683.68</v>
      </c>
      <c r="N595" s="3">
        <f>Table1[[#This Row],[Quantity]]*Table1[[#This Row],[Unit_Price]]</f>
        <v>15877.900000000001</v>
      </c>
      <c r="O595" s="3">
        <f>Table1[[#This Row],[ Original_Spend ]]-Table1[[#This Row],[ Total_Spend ]]</f>
        <v>194.22000000000116</v>
      </c>
      <c r="P595" s="2">
        <f t="shared" si="46"/>
        <v>1.2232096184004254E-2</v>
      </c>
      <c r="Q595" s="2">
        <f t="shared" si="47"/>
        <v>0.13855421686746988</v>
      </c>
      <c r="R595" t="str">
        <f t="shared" si="48"/>
        <v>Cancelled</v>
      </c>
      <c r="S595" t="str">
        <f t="shared" si="49"/>
        <v>Status-Date Conflict</v>
      </c>
    </row>
    <row r="596" spans="1:19" x14ac:dyDescent="0.25">
      <c r="A596" t="s">
        <v>621</v>
      </c>
      <c r="B596" t="s">
        <v>12</v>
      </c>
      <c r="C596" s="1">
        <v>45187</v>
      </c>
      <c r="D596" s="1">
        <v>45190</v>
      </c>
      <c r="E596" t="s">
        <v>39</v>
      </c>
      <c r="F596" t="s">
        <v>18</v>
      </c>
      <c r="G596">
        <v>1903</v>
      </c>
      <c r="H596" s="3">
        <v>83.49</v>
      </c>
      <c r="I596" s="3">
        <v>82.33</v>
      </c>
      <c r="J596">
        <v>43</v>
      </c>
      <c r="K596" t="s">
        <v>15</v>
      </c>
      <c r="L596">
        <f t="shared" si="45"/>
        <v>3</v>
      </c>
      <c r="M596" s="3">
        <f>Table1[[#This Row],[Quantity]]*Table1[[#This Row],[Negotiated_Price]]</f>
        <v>156673.99</v>
      </c>
      <c r="N596" s="3">
        <f>Table1[[#This Row],[Quantity]]*Table1[[#This Row],[Unit_Price]]</f>
        <v>158881.47</v>
      </c>
      <c r="O596" s="3">
        <f>Table1[[#This Row],[ Original_Spend ]]-Table1[[#This Row],[ Total_Spend ]]</f>
        <v>2207.4800000000105</v>
      </c>
      <c r="P596" s="2">
        <f t="shared" si="46"/>
        <v>1.3893879506527793E-2</v>
      </c>
      <c r="Q596" s="2">
        <f t="shared" si="47"/>
        <v>2.2595901208617972E-2</v>
      </c>
      <c r="R596" t="str">
        <f t="shared" si="48"/>
        <v>On Time</v>
      </c>
      <c r="S596" t="str">
        <f t="shared" si="49"/>
        <v>OK</v>
      </c>
    </row>
    <row r="597" spans="1:19" x14ac:dyDescent="0.25">
      <c r="A597" t="s">
        <v>622</v>
      </c>
      <c r="B597" t="s">
        <v>17</v>
      </c>
      <c r="C597" s="1">
        <v>44636</v>
      </c>
      <c r="D597" s="1">
        <v>44649</v>
      </c>
      <c r="E597" t="s">
        <v>13</v>
      </c>
      <c r="F597" t="s">
        <v>33</v>
      </c>
      <c r="G597">
        <v>840</v>
      </c>
      <c r="H597" s="3">
        <v>83.42</v>
      </c>
      <c r="I597" s="3">
        <v>80.349999999999994</v>
      </c>
      <c r="J597">
        <v>153</v>
      </c>
      <c r="K597" t="s">
        <v>15</v>
      </c>
      <c r="L597">
        <f t="shared" si="45"/>
        <v>13</v>
      </c>
      <c r="M597" s="3">
        <f>Table1[[#This Row],[Quantity]]*Table1[[#This Row],[Negotiated_Price]]</f>
        <v>67494</v>
      </c>
      <c r="N597" s="3">
        <f>Table1[[#This Row],[Quantity]]*Table1[[#This Row],[Unit_Price]]</f>
        <v>70072.800000000003</v>
      </c>
      <c r="O597" s="3">
        <f>Table1[[#This Row],[ Original_Spend ]]-Table1[[#This Row],[ Total_Spend ]]</f>
        <v>2578.8000000000029</v>
      </c>
      <c r="P597" s="2">
        <f t="shared" si="46"/>
        <v>3.6801726204747101E-2</v>
      </c>
      <c r="Q597" s="2">
        <f t="shared" si="47"/>
        <v>0.18214285714285713</v>
      </c>
      <c r="R597" t="str">
        <f t="shared" si="48"/>
        <v>Partially Delivered</v>
      </c>
      <c r="S597" t="str">
        <f t="shared" si="49"/>
        <v>Status-Date Conflict</v>
      </c>
    </row>
    <row r="598" spans="1:19" x14ac:dyDescent="0.25">
      <c r="A598" t="s">
        <v>623</v>
      </c>
      <c r="B598" t="s">
        <v>17</v>
      </c>
      <c r="C598" s="1">
        <v>45028</v>
      </c>
      <c r="E598" t="s">
        <v>21</v>
      </c>
      <c r="F598" t="s">
        <v>18</v>
      </c>
      <c r="G598">
        <v>1200</v>
      </c>
      <c r="H598" s="3">
        <v>74.489999999999995</v>
      </c>
      <c r="I598" s="3">
        <v>64.63</v>
      </c>
      <c r="J598">
        <v>161</v>
      </c>
      <c r="K598" t="s">
        <v>15</v>
      </c>
      <c r="L598" t="str">
        <f t="shared" si="45"/>
        <v/>
      </c>
      <c r="M598" s="3">
        <f>Table1[[#This Row],[Quantity]]*Table1[[#This Row],[Negotiated_Price]]</f>
        <v>77556</v>
      </c>
      <c r="N598" s="3">
        <f>Table1[[#This Row],[Quantity]]*Table1[[#This Row],[Unit_Price]]</f>
        <v>89388</v>
      </c>
      <c r="O598" s="3">
        <f>Table1[[#This Row],[ Original_Spend ]]-Table1[[#This Row],[ Total_Spend ]]</f>
        <v>11832</v>
      </c>
      <c r="P598" s="2">
        <f t="shared" si="46"/>
        <v>0.13236676063901195</v>
      </c>
      <c r="Q598" s="2">
        <f t="shared" si="47"/>
        <v>0.13416666666666666</v>
      </c>
      <c r="R598" t="str">
        <f t="shared" si="48"/>
        <v>Missing Delivery Date</v>
      </c>
      <c r="S598" t="str">
        <f t="shared" si="49"/>
        <v>Missing Delivery Date</v>
      </c>
    </row>
    <row r="599" spans="1:19" x14ac:dyDescent="0.25">
      <c r="A599" t="s">
        <v>624</v>
      </c>
      <c r="B599" t="s">
        <v>20</v>
      </c>
      <c r="C599" s="1">
        <v>44986</v>
      </c>
      <c r="D599" s="1">
        <v>45003</v>
      </c>
      <c r="E599" t="s">
        <v>26</v>
      </c>
      <c r="F599" t="s">
        <v>18</v>
      </c>
      <c r="G599">
        <v>1466</v>
      </c>
      <c r="H599" s="3">
        <v>77.37</v>
      </c>
      <c r="I599" s="3">
        <v>70.349999999999994</v>
      </c>
      <c r="J599">
        <v>72</v>
      </c>
      <c r="K599" t="s">
        <v>15</v>
      </c>
      <c r="L599">
        <f t="shared" si="45"/>
        <v>17</v>
      </c>
      <c r="M599" s="3">
        <f>Table1[[#This Row],[Quantity]]*Table1[[#This Row],[Negotiated_Price]]</f>
        <v>103133.09999999999</v>
      </c>
      <c r="N599" s="3">
        <f>Table1[[#This Row],[Quantity]]*Table1[[#This Row],[Unit_Price]]</f>
        <v>113424.42000000001</v>
      </c>
      <c r="O599" s="3">
        <f>Table1[[#This Row],[ Original_Spend ]]-Table1[[#This Row],[ Total_Spend ]]</f>
        <v>10291.320000000022</v>
      </c>
      <c r="P599" s="2">
        <f t="shared" si="46"/>
        <v>9.0732842186894327E-2</v>
      </c>
      <c r="Q599" s="2">
        <f t="shared" si="47"/>
        <v>4.9113233287858118E-2</v>
      </c>
      <c r="R599" t="str">
        <f t="shared" si="48"/>
        <v>Late</v>
      </c>
      <c r="S599" t="str">
        <f t="shared" si="49"/>
        <v>OK</v>
      </c>
    </row>
    <row r="600" spans="1:19" x14ac:dyDescent="0.25">
      <c r="A600" t="s">
        <v>625</v>
      </c>
      <c r="B600" t="s">
        <v>12</v>
      </c>
      <c r="C600" s="1">
        <v>45206</v>
      </c>
      <c r="D600" s="1">
        <v>45220</v>
      </c>
      <c r="E600" t="s">
        <v>13</v>
      </c>
      <c r="F600" t="s">
        <v>18</v>
      </c>
      <c r="G600">
        <v>1981</v>
      </c>
      <c r="H600" s="3">
        <v>95.5</v>
      </c>
      <c r="I600" s="3">
        <v>94.39</v>
      </c>
      <c r="J600">
        <v>49</v>
      </c>
      <c r="K600" t="s">
        <v>15</v>
      </c>
      <c r="L600">
        <f t="shared" si="45"/>
        <v>14</v>
      </c>
      <c r="M600" s="3">
        <f>Table1[[#This Row],[Quantity]]*Table1[[#This Row],[Negotiated_Price]]</f>
        <v>186986.59</v>
      </c>
      <c r="N600" s="3">
        <f>Table1[[#This Row],[Quantity]]*Table1[[#This Row],[Unit_Price]]</f>
        <v>189185.5</v>
      </c>
      <c r="O600" s="3">
        <f>Table1[[#This Row],[ Original_Spend ]]-Table1[[#This Row],[ Total_Spend ]]</f>
        <v>2198.9100000000035</v>
      </c>
      <c r="P600" s="2">
        <f t="shared" si="46"/>
        <v>1.1623036649214678E-2</v>
      </c>
      <c r="Q600" s="2">
        <f t="shared" si="47"/>
        <v>2.4734982332155476E-2</v>
      </c>
      <c r="R600" t="str">
        <f t="shared" si="48"/>
        <v>Late</v>
      </c>
      <c r="S600" t="str">
        <f t="shared" si="49"/>
        <v>OK</v>
      </c>
    </row>
    <row r="601" spans="1:19" x14ac:dyDescent="0.25">
      <c r="A601" t="s">
        <v>626</v>
      </c>
      <c r="B601" t="s">
        <v>20</v>
      </c>
      <c r="C601" s="1">
        <v>45151</v>
      </c>
      <c r="D601" s="1">
        <v>45154</v>
      </c>
      <c r="E601" t="s">
        <v>24</v>
      </c>
      <c r="F601" t="s">
        <v>18</v>
      </c>
      <c r="G601">
        <v>1062</v>
      </c>
      <c r="H601" s="3">
        <v>35.549999999999997</v>
      </c>
      <c r="I601" s="3">
        <v>32.380000000000003</v>
      </c>
      <c r="K601" t="s">
        <v>15</v>
      </c>
      <c r="L601">
        <f t="shared" si="45"/>
        <v>3</v>
      </c>
      <c r="M601" s="3">
        <f>Table1[[#This Row],[Quantity]]*Table1[[#This Row],[Negotiated_Price]]</f>
        <v>34387.560000000005</v>
      </c>
      <c r="N601" s="3">
        <f>Table1[[#This Row],[Quantity]]*Table1[[#This Row],[Unit_Price]]</f>
        <v>37754.1</v>
      </c>
      <c r="O601" s="3">
        <f>Table1[[#This Row],[ Original_Spend ]]-Table1[[#This Row],[ Total_Spend ]]</f>
        <v>3366.5399999999936</v>
      </c>
      <c r="P601" s="2">
        <f t="shared" si="46"/>
        <v>8.9170182841068757E-2</v>
      </c>
      <c r="Q601" s="2">
        <f t="shared" si="47"/>
        <v>0</v>
      </c>
      <c r="R601" t="str">
        <f t="shared" si="48"/>
        <v>On Time</v>
      </c>
      <c r="S601" t="str">
        <f t="shared" si="49"/>
        <v>OK</v>
      </c>
    </row>
    <row r="602" spans="1:19" x14ac:dyDescent="0.25">
      <c r="A602" t="s">
        <v>627</v>
      </c>
      <c r="B602" t="s">
        <v>12</v>
      </c>
      <c r="C602" s="1">
        <v>44761</v>
      </c>
      <c r="D602" s="1">
        <v>44772</v>
      </c>
      <c r="E602" t="s">
        <v>21</v>
      </c>
      <c r="F602" t="s">
        <v>18</v>
      </c>
      <c r="G602">
        <v>1714</v>
      </c>
      <c r="H602" s="3">
        <v>55.67</v>
      </c>
      <c r="I602" s="3">
        <v>55.09</v>
      </c>
      <c r="J602">
        <v>42</v>
      </c>
      <c r="K602" t="s">
        <v>15</v>
      </c>
      <c r="L602">
        <f t="shared" si="45"/>
        <v>11</v>
      </c>
      <c r="M602" s="3">
        <f>Table1[[#This Row],[Quantity]]*Table1[[#This Row],[Negotiated_Price]]</f>
        <v>94424.260000000009</v>
      </c>
      <c r="N602" s="3">
        <f>Table1[[#This Row],[Quantity]]*Table1[[#This Row],[Unit_Price]]</f>
        <v>95418.38</v>
      </c>
      <c r="O602" s="3">
        <f>Table1[[#This Row],[ Original_Spend ]]-Table1[[#This Row],[ Total_Spend ]]</f>
        <v>994.11999999999534</v>
      </c>
      <c r="P602" s="2">
        <f t="shared" si="46"/>
        <v>1.041853781210701E-2</v>
      </c>
      <c r="Q602" s="2">
        <f t="shared" si="47"/>
        <v>2.4504084014002333E-2</v>
      </c>
      <c r="R602" t="str">
        <f t="shared" si="48"/>
        <v>Late</v>
      </c>
      <c r="S602" t="str">
        <f t="shared" si="49"/>
        <v>OK</v>
      </c>
    </row>
    <row r="603" spans="1:19" x14ac:dyDescent="0.25">
      <c r="A603" t="s">
        <v>628</v>
      </c>
      <c r="B603" t="s">
        <v>12</v>
      </c>
      <c r="C603" s="1">
        <v>45275</v>
      </c>
      <c r="D603" s="1">
        <v>45290</v>
      </c>
      <c r="E603" t="s">
        <v>13</v>
      </c>
      <c r="F603" t="s">
        <v>18</v>
      </c>
      <c r="G603">
        <v>1131</v>
      </c>
      <c r="H603" s="3">
        <v>33.35</v>
      </c>
      <c r="I603" s="3">
        <v>31.28</v>
      </c>
      <c r="J603">
        <v>23</v>
      </c>
      <c r="K603" t="s">
        <v>15</v>
      </c>
      <c r="L603">
        <f t="shared" si="45"/>
        <v>15</v>
      </c>
      <c r="M603" s="3">
        <f>Table1[[#This Row],[Quantity]]*Table1[[#This Row],[Negotiated_Price]]</f>
        <v>35377.68</v>
      </c>
      <c r="N603" s="3">
        <f>Table1[[#This Row],[Quantity]]*Table1[[#This Row],[Unit_Price]]</f>
        <v>37718.85</v>
      </c>
      <c r="O603" s="3">
        <f>Table1[[#This Row],[ Original_Spend ]]-Table1[[#This Row],[ Total_Spend ]]</f>
        <v>2341.1699999999983</v>
      </c>
      <c r="P603" s="2">
        <f t="shared" si="46"/>
        <v>6.2068965517241337E-2</v>
      </c>
      <c r="Q603" s="2">
        <f t="shared" si="47"/>
        <v>2.0335985853227233E-2</v>
      </c>
      <c r="R603" t="str">
        <f t="shared" si="48"/>
        <v>Late</v>
      </c>
      <c r="S603" t="str">
        <f t="shared" si="49"/>
        <v>OK</v>
      </c>
    </row>
    <row r="604" spans="1:19" x14ac:dyDescent="0.25">
      <c r="A604" t="s">
        <v>629</v>
      </c>
      <c r="B604" t="s">
        <v>12</v>
      </c>
      <c r="C604" s="1">
        <v>44955</v>
      </c>
      <c r="D604" s="1">
        <v>44972</v>
      </c>
      <c r="E604" t="s">
        <v>13</v>
      </c>
      <c r="F604" t="s">
        <v>18</v>
      </c>
      <c r="G604">
        <v>683</v>
      </c>
      <c r="H604" s="3">
        <v>104.82</v>
      </c>
      <c r="I604" s="3">
        <v>101.34</v>
      </c>
      <c r="K604" t="s">
        <v>15</v>
      </c>
      <c r="L604">
        <f t="shared" si="45"/>
        <v>17</v>
      </c>
      <c r="M604" s="3">
        <f>Table1[[#This Row],[Quantity]]*Table1[[#This Row],[Negotiated_Price]]</f>
        <v>69215.22</v>
      </c>
      <c r="N604" s="3">
        <f>Table1[[#This Row],[Quantity]]*Table1[[#This Row],[Unit_Price]]</f>
        <v>71592.06</v>
      </c>
      <c r="O604" s="3">
        <f>Table1[[#This Row],[ Original_Spend ]]-Table1[[#This Row],[ Total_Spend ]]</f>
        <v>2376.8399999999965</v>
      </c>
      <c r="P604" s="2">
        <f t="shared" si="46"/>
        <v>3.3199771036061775E-2</v>
      </c>
      <c r="Q604" s="2">
        <f t="shared" si="47"/>
        <v>0</v>
      </c>
      <c r="R604" t="str">
        <f t="shared" si="48"/>
        <v>Late</v>
      </c>
      <c r="S604" t="str">
        <f t="shared" si="49"/>
        <v>OK</v>
      </c>
    </row>
    <row r="605" spans="1:19" x14ac:dyDescent="0.25">
      <c r="A605" t="s">
        <v>630</v>
      </c>
      <c r="B605" t="s">
        <v>20</v>
      </c>
      <c r="C605" s="1">
        <v>45068</v>
      </c>
      <c r="D605" s="1">
        <v>45086</v>
      </c>
      <c r="E605" t="s">
        <v>24</v>
      </c>
      <c r="F605" t="s">
        <v>33</v>
      </c>
      <c r="G605">
        <v>562</v>
      </c>
      <c r="H605" s="3">
        <v>102.56</v>
      </c>
      <c r="I605" s="3">
        <v>90.88</v>
      </c>
      <c r="J605">
        <v>38</v>
      </c>
      <c r="K605" t="s">
        <v>15</v>
      </c>
      <c r="L605">
        <f t="shared" si="45"/>
        <v>18</v>
      </c>
      <c r="M605" s="3">
        <f>Table1[[#This Row],[Quantity]]*Table1[[#This Row],[Negotiated_Price]]</f>
        <v>51074.559999999998</v>
      </c>
      <c r="N605" s="3">
        <f>Table1[[#This Row],[Quantity]]*Table1[[#This Row],[Unit_Price]]</f>
        <v>57638.720000000001</v>
      </c>
      <c r="O605" s="3">
        <f>Table1[[#This Row],[ Original_Spend ]]-Table1[[#This Row],[ Total_Spend ]]</f>
        <v>6564.1600000000035</v>
      </c>
      <c r="P605" s="2">
        <f t="shared" si="46"/>
        <v>0.11388455538221534</v>
      </c>
      <c r="Q605" s="2">
        <f t="shared" si="47"/>
        <v>6.7615658362989328E-2</v>
      </c>
      <c r="R605" t="str">
        <f t="shared" si="48"/>
        <v>Partially Delivered</v>
      </c>
      <c r="S605" t="str">
        <f t="shared" si="49"/>
        <v>Status-Date Conflict</v>
      </c>
    </row>
    <row r="606" spans="1:19" x14ac:dyDescent="0.25">
      <c r="A606" t="s">
        <v>631</v>
      </c>
      <c r="B606" t="s">
        <v>12</v>
      </c>
      <c r="C606" s="1">
        <v>44971</v>
      </c>
      <c r="D606" s="1">
        <v>44977</v>
      </c>
      <c r="E606" t="s">
        <v>39</v>
      </c>
      <c r="F606" t="s">
        <v>18</v>
      </c>
      <c r="G606">
        <v>1824</v>
      </c>
      <c r="H606" s="3">
        <v>14.43</v>
      </c>
      <c r="I606" s="3">
        <v>14.11</v>
      </c>
      <c r="J606">
        <v>36</v>
      </c>
      <c r="K606" t="s">
        <v>15</v>
      </c>
      <c r="L606">
        <f t="shared" si="45"/>
        <v>6</v>
      </c>
      <c r="M606" s="3">
        <f>Table1[[#This Row],[Quantity]]*Table1[[#This Row],[Negotiated_Price]]</f>
        <v>25736.639999999999</v>
      </c>
      <c r="N606" s="3">
        <f>Table1[[#This Row],[Quantity]]*Table1[[#This Row],[Unit_Price]]</f>
        <v>26320.32</v>
      </c>
      <c r="O606" s="3">
        <f>Table1[[#This Row],[ Original_Spend ]]-Table1[[#This Row],[ Total_Spend ]]</f>
        <v>583.68000000000029</v>
      </c>
      <c r="P606" s="2">
        <f t="shared" si="46"/>
        <v>2.2176022176022187E-2</v>
      </c>
      <c r="Q606" s="2">
        <f t="shared" si="47"/>
        <v>1.9736842105263157E-2</v>
      </c>
      <c r="R606" t="str">
        <f t="shared" si="48"/>
        <v>On Time</v>
      </c>
      <c r="S606" t="str">
        <f t="shared" si="49"/>
        <v>OK</v>
      </c>
    </row>
    <row r="607" spans="1:19" x14ac:dyDescent="0.25">
      <c r="A607" t="s">
        <v>632</v>
      </c>
      <c r="B607" t="s">
        <v>23</v>
      </c>
      <c r="C607" s="1">
        <v>44811</v>
      </c>
      <c r="D607" s="1">
        <v>44816</v>
      </c>
      <c r="E607" t="s">
        <v>39</v>
      </c>
      <c r="F607" t="s">
        <v>33</v>
      </c>
      <c r="G607">
        <v>851</v>
      </c>
      <c r="H607" s="3">
        <v>76.44</v>
      </c>
      <c r="I607" s="3">
        <v>74.760000000000005</v>
      </c>
      <c r="J607">
        <v>91</v>
      </c>
      <c r="K607" t="s">
        <v>15</v>
      </c>
      <c r="L607">
        <f t="shared" si="45"/>
        <v>5</v>
      </c>
      <c r="M607" s="3">
        <f>Table1[[#This Row],[Quantity]]*Table1[[#This Row],[Negotiated_Price]]</f>
        <v>63620.76</v>
      </c>
      <c r="N607" s="3">
        <f>Table1[[#This Row],[Quantity]]*Table1[[#This Row],[Unit_Price]]</f>
        <v>65050.439999999995</v>
      </c>
      <c r="O607" s="3">
        <f>Table1[[#This Row],[ Original_Spend ]]-Table1[[#This Row],[ Total_Spend ]]</f>
        <v>1429.679999999993</v>
      </c>
      <c r="P607" s="2">
        <f t="shared" si="46"/>
        <v>2.1978021978021872E-2</v>
      </c>
      <c r="Q607" s="2">
        <f t="shared" si="47"/>
        <v>0.10693301997649823</v>
      </c>
      <c r="R607" t="str">
        <f t="shared" si="48"/>
        <v>Partially Delivered</v>
      </c>
      <c r="S607" t="str">
        <f t="shared" si="49"/>
        <v>Status-Date Conflict</v>
      </c>
    </row>
    <row r="608" spans="1:19" x14ac:dyDescent="0.25">
      <c r="A608" t="s">
        <v>633</v>
      </c>
      <c r="B608" t="s">
        <v>23</v>
      </c>
      <c r="C608" s="1">
        <v>44713</v>
      </c>
      <c r="D608" s="1">
        <v>44715</v>
      </c>
      <c r="E608" t="s">
        <v>13</v>
      </c>
      <c r="F608" t="s">
        <v>18</v>
      </c>
      <c r="G608">
        <v>1169</v>
      </c>
      <c r="H608" s="3">
        <v>95.6</v>
      </c>
      <c r="I608" s="3">
        <v>82.16</v>
      </c>
      <c r="J608">
        <v>103</v>
      </c>
      <c r="K608" t="s">
        <v>15</v>
      </c>
      <c r="L608">
        <f t="shared" si="45"/>
        <v>2</v>
      </c>
      <c r="M608" s="3">
        <f>Table1[[#This Row],[Quantity]]*Table1[[#This Row],[Negotiated_Price]]</f>
        <v>96045.04</v>
      </c>
      <c r="N608" s="3">
        <f>Table1[[#This Row],[Quantity]]*Table1[[#This Row],[Unit_Price]]</f>
        <v>111756.4</v>
      </c>
      <c r="O608" s="3">
        <f>Table1[[#This Row],[ Original_Spend ]]-Table1[[#This Row],[ Total_Spend ]]</f>
        <v>15711.36</v>
      </c>
      <c r="P608" s="2">
        <f t="shared" si="46"/>
        <v>0.14058577405857742</v>
      </c>
      <c r="Q608" s="2">
        <f t="shared" si="47"/>
        <v>8.8109495295124032E-2</v>
      </c>
      <c r="R608" t="str">
        <f t="shared" si="48"/>
        <v>On Time</v>
      </c>
      <c r="S608" t="str">
        <f t="shared" si="49"/>
        <v>OK</v>
      </c>
    </row>
    <row r="609" spans="1:19" x14ac:dyDescent="0.25">
      <c r="A609" t="s">
        <v>634</v>
      </c>
      <c r="B609" t="s">
        <v>29</v>
      </c>
      <c r="C609" s="1">
        <v>45233</v>
      </c>
      <c r="D609" s="1">
        <v>45250</v>
      </c>
      <c r="E609" t="s">
        <v>21</v>
      </c>
      <c r="F609" t="s">
        <v>18</v>
      </c>
      <c r="G609">
        <v>1711</v>
      </c>
      <c r="H609" s="3">
        <v>29.14</v>
      </c>
      <c r="I609" s="3">
        <v>26.35</v>
      </c>
      <c r="J609">
        <v>48</v>
      </c>
      <c r="K609" t="s">
        <v>15</v>
      </c>
      <c r="L609">
        <f t="shared" si="45"/>
        <v>17</v>
      </c>
      <c r="M609" s="3">
        <f>Table1[[#This Row],[Quantity]]*Table1[[#This Row],[Negotiated_Price]]</f>
        <v>45084.850000000006</v>
      </c>
      <c r="N609" s="3">
        <f>Table1[[#This Row],[Quantity]]*Table1[[#This Row],[Unit_Price]]</f>
        <v>49858.54</v>
      </c>
      <c r="O609" s="3">
        <f>Table1[[#This Row],[ Original_Spend ]]-Table1[[#This Row],[ Total_Spend ]]</f>
        <v>4773.6899999999951</v>
      </c>
      <c r="P609" s="2">
        <f t="shared" si="46"/>
        <v>9.5744680851063732E-2</v>
      </c>
      <c r="Q609" s="2">
        <f t="shared" si="47"/>
        <v>2.8053769725306838E-2</v>
      </c>
      <c r="R609" t="str">
        <f t="shared" si="48"/>
        <v>Late</v>
      </c>
      <c r="S609" t="str">
        <f t="shared" si="49"/>
        <v>OK</v>
      </c>
    </row>
    <row r="610" spans="1:19" x14ac:dyDescent="0.25">
      <c r="A610" t="s">
        <v>635</v>
      </c>
      <c r="B610" t="s">
        <v>23</v>
      </c>
      <c r="C610" s="1">
        <v>45266</v>
      </c>
      <c r="D610" s="1">
        <v>45272</v>
      </c>
      <c r="E610" t="s">
        <v>24</v>
      </c>
      <c r="F610" t="s">
        <v>35</v>
      </c>
      <c r="G610">
        <v>1191</v>
      </c>
      <c r="H610" s="3">
        <v>68.14</v>
      </c>
      <c r="I610" s="3">
        <v>61.71</v>
      </c>
      <c r="J610">
        <v>112</v>
      </c>
      <c r="K610" t="s">
        <v>15</v>
      </c>
      <c r="L610">
        <f t="shared" si="45"/>
        <v>6</v>
      </c>
      <c r="M610" s="3">
        <f>Table1[[#This Row],[Quantity]]*Table1[[#This Row],[Negotiated_Price]]</f>
        <v>73496.61</v>
      </c>
      <c r="N610" s="3">
        <f>Table1[[#This Row],[Quantity]]*Table1[[#This Row],[Unit_Price]]</f>
        <v>81154.740000000005</v>
      </c>
      <c r="O610" s="3">
        <f>Table1[[#This Row],[ Original_Spend ]]-Table1[[#This Row],[ Total_Spend ]]</f>
        <v>7658.1300000000047</v>
      </c>
      <c r="P610" s="2">
        <f t="shared" si="46"/>
        <v>9.4364543586733254E-2</v>
      </c>
      <c r="Q610" s="2">
        <f t="shared" si="47"/>
        <v>9.4038623005877411E-2</v>
      </c>
      <c r="R610" t="str">
        <f t="shared" si="48"/>
        <v>Pending</v>
      </c>
      <c r="S610" t="str">
        <f t="shared" si="49"/>
        <v>Status-Date Conflict</v>
      </c>
    </row>
    <row r="611" spans="1:19" x14ac:dyDescent="0.25">
      <c r="A611" t="s">
        <v>636</v>
      </c>
      <c r="B611" t="s">
        <v>29</v>
      </c>
      <c r="C611" s="1">
        <v>44567</v>
      </c>
      <c r="D611" s="1">
        <v>44575</v>
      </c>
      <c r="E611" t="s">
        <v>39</v>
      </c>
      <c r="F611" t="s">
        <v>18</v>
      </c>
      <c r="G611">
        <v>609</v>
      </c>
      <c r="H611" s="3">
        <v>92.39</v>
      </c>
      <c r="I611" s="3">
        <v>82.75</v>
      </c>
      <c r="J611">
        <v>29</v>
      </c>
      <c r="K611" t="s">
        <v>15</v>
      </c>
      <c r="L611">
        <f t="shared" si="45"/>
        <v>8</v>
      </c>
      <c r="M611" s="3">
        <f>Table1[[#This Row],[Quantity]]*Table1[[#This Row],[Negotiated_Price]]</f>
        <v>50394.75</v>
      </c>
      <c r="N611" s="3">
        <f>Table1[[#This Row],[Quantity]]*Table1[[#This Row],[Unit_Price]]</f>
        <v>56265.51</v>
      </c>
      <c r="O611" s="3">
        <f>Table1[[#This Row],[ Original_Spend ]]-Table1[[#This Row],[ Total_Spend ]]</f>
        <v>5870.760000000002</v>
      </c>
      <c r="P611" s="2">
        <f t="shared" si="46"/>
        <v>0.10434029656889277</v>
      </c>
      <c r="Q611" s="2">
        <f t="shared" si="47"/>
        <v>4.7619047619047616E-2</v>
      </c>
      <c r="R611" t="str">
        <f t="shared" si="48"/>
        <v>On Time</v>
      </c>
      <c r="S611" t="str">
        <f t="shared" si="49"/>
        <v>OK</v>
      </c>
    </row>
    <row r="612" spans="1:19" x14ac:dyDescent="0.25">
      <c r="A612" t="s">
        <v>637</v>
      </c>
      <c r="B612" t="s">
        <v>23</v>
      </c>
      <c r="C612" s="1">
        <v>44671</v>
      </c>
      <c r="D612" s="1">
        <v>44688</v>
      </c>
      <c r="E612" t="s">
        <v>13</v>
      </c>
      <c r="F612" t="s">
        <v>18</v>
      </c>
      <c r="G612">
        <v>1674</v>
      </c>
      <c r="H612" s="3">
        <v>13.25</v>
      </c>
      <c r="I612" s="3">
        <v>11.77</v>
      </c>
      <c r="J612">
        <v>181</v>
      </c>
      <c r="K612" t="s">
        <v>15</v>
      </c>
      <c r="L612">
        <f t="shared" si="45"/>
        <v>17</v>
      </c>
      <c r="M612" s="3">
        <f>Table1[[#This Row],[Quantity]]*Table1[[#This Row],[Negotiated_Price]]</f>
        <v>19702.98</v>
      </c>
      <c r="N612" s="3">
        <f>Table1[[#This Row],[Quantity]]*Table1[[#This Row],[Unit_Price]]</f>
        <v>22180.5</v>
      </c>
      <c r="O612" s="3">
        <f>Table1[[#This Row],[ Original_Spend ]]-Table1[[#This Row],[ Total_Spend ]]</f>
        <v>2477.5200000000004</v>
      </c>
      <c r="P612" s="2">
        <f t="shared" si="46"/>
        <v>0.11169811320754719</v>
      </c>
      <c r="Q612" s="2">
        <f t="shared" si="47"/>
        <v>0.10812425328554361</v>
      </c>
      <c r="R612" t="str">
        <f t="shared" si="48"/>
        <v>Late</v>
      </c>
      <c r="S612" t="str">
        <f t="shared" si="49"/>
        <v>OK</v>
      </c>
    </row>
    <row r="613" spans="1:19" x14ac:dyDescent="0.25">
      <c r="A613" t="s">
        <v>638</v>
      </c>
      <c r="B613" t="s">
        <v>20</v>
      </c>
      <c r="C613" s="1">
        <v>44997</v>
      </c>
      <c r="D613" s="1">
        <v>45000</v>
      </c>
      <c r="E613" t="s">
        <v>21</v>
      </c>
      <c r="F613" t="s">
        <v>18</v>
      </c>
      <c r="G613">
        <v>537</v>
      </c>
      <c r="H613" s="3">
        <v>77.86</v>
      </c>
      <c r="I613" s="3">
        <v>71.180000000000007</v>
      </c>
      <c r="J613">
        <v>20</v>
      </c>
      <c r="K613" t="s">
        <v>15</v>
      </c>
      <c r="L613">
        <f t="shared" si="45"/>
        <v>3</v>
      </c>
      <c r="M613" s="3">
        <f>Table1[[#This Row],[Quantity]]*Table1[[#This Row],[Negotiated_Price]]</f>
        <v>38223.660000000003</v>
      </c>
      <c r="N613" s="3">
        <f>Table1[[#This Row],[Quantity]]*Table1[[#This Row],[Unit_Price]]</f>
        <v>41810.82</v>
      </c>
      <c r="O613" s="3">
        <f>Table1[[#This Row],[ Original_Spend ]]-Table1[[#This Row],[ Total_Spend ]]</f>
        <v>3587.1599999999962</v>
      </c>
      <c r="P613" s="2">
        <f t="shared" si="46"/>
        <v>8.579501669663489E-2</v>
      </c>
      <c r="Q613" s="2">
        <f t="shared" si="47"/>
        <v>3.7243947858473E-2</v>
      </c>
      <c r="R613" t="str">
        <f t="shared" si="48"/>
        <v>On Time</v>
      </c>
      <c r="S613" t="str">
        <f t="shared" si="49"/>
        <v>OK</v>
      </c>
    </row>
    <row r="614" spans="1:19" x14ac:dyDescent="0.25">
      <c r="A614" t="s">
        <v>639</v>
      </c>
      <c r="B614" t="s">
        <v>29</v>
      </c>
      <c r="C614" s="1">
        <v>44786</v>
      </c>
      <c r="D614" s="1">
        <v>44804</v>
      </c>
      <c r="E614" t="s">
        <v>39</v>
      </c>
      <c r="F614" t="s">
        <v>18</v>
      </c>
      <c r="G614">
        <v>1310</v>
      </c>
      <c r="H614" s="3">
        <v>38.049999999999997</v>
      </c>
      <c r="I614" s="3">
        <v>37</v>
      </c>
      <c r="J614">
        <v>45</v>
      </c>
      <c r="K614" t="s">
        <v>15</v>
      </c>
      <c r="L614">
        <f t="shared" si="45"/>
        <v>18</v>
      </c>
      <c r="M614" s="3">
        <f>Table1[[#This Row],[Quantity]]*Table1[[#This Row],[Negotiated_Price]]</f>
        <v>48470</v>
      </c>
      <c r="N614" s="3">
        <f>Table1[[#This Row],[Quantity]]*Table1[[#This Row],[Unit_Price]]</f>
        <v>49845.499999999993</v>
      </c>
      <c r="O614" s="3">
        <f>Table1[[#This Row],[ Original_Spend ]]-Table1[[#This Row],[ Total_Spend ]]</f>
        <v>1375.4999999999927</v>
      </c>
      <c r="P614" s="2">
        <f t="shared" si="46"/>
        <v>2.7595269382391447E-2</v>
      </c>
      <c r="Q614" s="2">
        <f t="shared" si="47"/>
        <v>3.4351145038167941E-2</v>
      </c>
      <c r="R614" t="str">
        <f t="shared" si="48"/>
        <v>Late</v>
      </c>
      <c r="S614" t="str">
        <f t="shared" si="49"/>
        <v>OK</v>
      </c>
    </row>
    <row r="615" spans="1:19" x14ac:dyDescent="0.25">
      <c r="A615" t="s">
        <v>640</v>
      </c>
      <c r="B615" t="s">
        <v>17</v>
      </c>
      <c r="C615" s="1">
        <v>44742</v>
      </c>
      <c r="D615" s="1">
        <v>44752</v>
      </c>
      <c r="E615" t="s">
        <v>26</v>
      </c>
      <c r="F615" t="s">
        <v>18</v>
      </c>
      <c r="G615">
        <v>1958</v>
      </c>
      <c r="H615" s="3">
        <v>95.53</v>
      </c>
      <c r="I615" s="3">
        <v>91.72</v>
      </c>
      <c r="J615">
        <v>308</v>
      </c>
      <c r="K615" t="s">
        <v>15</v>
      </c>
      <c r="L615">
        <f t="shared" si="45"/>
        <v>10</v>
      </c>
      <c r="M615" s="3">
        <f>Table1[[#This Row],[Quantity]]*Table1[[#This Row],[Negotiated_Price]]</f>
        <v>179587.76</v>
      </c>
      <c r="N615" s="3">
        <f>Table1[[#This Row],[Quantity]]*Table1[[#This Row],[Unit_Price]]</f>
        <v>187047.74</v>
      </c>
      <c r="O615" s="3">
        <f>Table1[[#This Row],[ Original_Spend ]]-Table1[[#This Row],[ Total_Spend ]]</f>
        <v>7459.9799999999814</v>
      </c>
      <c r="P615" s="2">
        <f t="shared" si="46"/>
        <v>3.9882759342614788E-2</v>
      </c>
      <c r="Q615" s="2">
        <f t="shared" si="47"/>
        <v>0.15730337078651685</v>
      </c>
      <c r="R615" t="str">
        <f t="shared" si="48"/>
        <v>On Time</v>
      </c>
      <c r="S615" t="str">
        <f t="shared" si="49"/>
        <v>OK</v>
      </c>
    </row>
    <row r="616" spans="1:19" x14ac:dyDescent="0.25">
      <c r="A616" t="s">
        <v>641</v>
      </c>
      <c r="B616" t="s">
        <v>17</v>
      </c>
      <c r="C616" s="1">
        <v>45274</v>
      </c>
      <c r="D616" s="1">
        <v>45277</v>
      </c>
      <c r="E616" t="s">
        <v>13</v>
      </c>
      <c r="F616" t="s">
        <v>18</v>
      </c>
      <c r="G616">
        <v>946</v>
      </c>
      <c r="H616" s="3">
        <v>108.6</v>
      </c>
      <c r="I616" s="3">
        <v>101.78</v>
      </c>
      <c r="J616">
        <v>146</v>
      </c>
      <c r="K616" t="s">
        <v>15</v>
      </c>
      <c r="L616">
        <f t="shared" si="45"/>
        <v>3</v>
      </c>
      <c r="M616" s="3">
        <f>Table1[[#This Row],[Quantity]]*Table1[[#This Row],[Negotiated_Price]]</f>
        <v>96283.88</v>
      </c>
      <c r="N616" s="3">
        <f>Table1[[#This Row],[Quantity]]*Table1[[#This Row],[Unit_Price]]</f>
        <v>102735.59999999999</v>
      </c>
      <c r="O616" s="3">
        <f>Table1[[#This Row],[ Original_Spend ]]-Table1[[#This Row],[ Total_Spend ]]</f>
        <v>6451.7199999999866</v>
      </c>
      <c r="P616" s="2">
        <f t="shared" si="46"/>
        <v>6.2799263351749415E-2</v>
      </c>
      <c r="Q616" s="2">
        <f t="shared" si="47"/>
        <v>0.15433403805496829</v>
      </c>
      <c r="R616" t="str">
        <f t="shared" si="48"/>
        <v>On Time</v>
      </c>
      <c r="S616" t="str">
        <f t="shared" si="49"/>
        <v>OK</v>
      </c>
    </row>
    <row r="617" spans="1:19" x14ac:dyDescent="0.25">
      <c r="A617" t="s">
        <v>642</v>
      </c>
      <c r="B617" t="s">
        <v>23</v>
      </c>
      <c r="C617" s="1">
        <v>45092</v>
      </c>
      <c r="D617" s="1">
        <v>45098</v>
      </c>
      <c r="E617" t="s">
        <v>24</v>
      </c>
      <c r="F617" t="s">
        <v>33</v>
      </c>
      <c r="G617">
        <v>1345</v>
      </c>
      <c r="H617" s="3">
        <v>103.06</v>
      </c>
      <c r="I617" s="3">
        <v>95.14</v>
      </c>
      <c r="K617" t="s">
        <v>15</v>
      </c>
      <c r="L617">
        <f t="shared" si="45"/>
        <v>6</v>
      </c>
      <c r="M617" s="3">
        <f>Table1[[#This Row],[Quantity]]*Table1[[#This Row],[Negotiated_Price]]</f>
        <v>127963.3</v>
      </c>
      <c r="N617" s="3">
        <f>Table1[[#This Row],[Quantity]]*Table1[[#This Row],[Unit_Price]]</f>
        <v>138615.70000000001</v>
      </c>
      <c r="O617" s="3">
        <f>Table1[[#This Row],[ Original_Spend ]]-Table1[[#This Row],[ Total_Spend ]]</f>
        <v>10652.400000000009</v>
      </c>
      <c r="P617" s="2">
        <f t="shared" si="46"/>
        <v>7.6848437803221481E-2</v>
      </c>
      <c r="Q617" s="2">
        <f t="shared" si="47"/>
        <v>0</v>
      </c>
      <c r="R617" t="str">
        <f t="shared" si="48"/>
        <v>Partially Delivered</v>
      </c>
      <c r="S617" t="str">
        <f t="shared" si="49"/>
        <v>Status-Date Conflict</v>
      </c>
    </row>
    <row r="618" spans="1:19" x14ac:dyDescent="0.25">
      <c r="A618" t="s">
        <v>643</v>
      </c>
      <c r="B618" t="s">
        <v>17</v>
      </c>
      <c r="C618" s="1">
        <v>45037</v>
      </c>
      <c r="D618" s="1">
        <v>45056</v>
      </c>
      <c r="E618" t="s">
        <v>21</v>
      </c>
      <c r="F618" t="s">
        <v>18</v>
      </c>
      <c r="G618">
        <v>1262</v>
      </c>
      <c r="H618" s="3">
        <v>56.63</v>
      </c>
      <c r="I618" s="3">
        <v>51.46</v>
      </c>
      <c r="K618" t="s">
        <v>27</v>
      </c>
      <c r="L618">
        <f t="shared" si="45"/>
        <v>19</v>
      </c>
      <c r="M618" s="3">
        <f>Table1[[#This Row],[Quantity]]*Table1[[#This Row],[Negotiated_Price]]</f>
        <v>64942.520000000004</v>
      </c>
      <c r="N618" s="3">
        <f>Table1[[#This Row],[Quantity]]*Table1[[#This Row],[Unit_Price]]</f>
        <v>71467.06</v>
      </c>
      <c r="O618" s="3">
        <f>Table1[[#This Row],[ Original_Spend ]]-Table1[[#This Row],[ Total_Spend ]]</f>
        <v>6524.5399999999936</v>
      </c>
      <c r="P618" s="2">
        <f t="shared" si="46"/>
        <v>9.1294366943316177E-2</v>
      </c>
      <c r="Q618" s="2">
        <f t="shared" si="47"/>
        <v>0</v>
      </c>
      <c r="R618" t="str">
        <f t="shared" si="48"/>
        <v>Late</v>
      </c>
      <c r="S618" t="str">
        <f t="shared" si="49"/>
        <v>OK</v>
      </c>
    </row>
    <row r="619" spans="1:19" x14ac:dyDescent="0.25">
      <c r="A619" t="s">
        <v>644</v>
      </c>
      <c r="B619" t="s">
        <v>23</v>
      </c>
      <c r="C619" s="1">
        <v>44613</v>
      </c>
      <c r="D619" s="1">
        <v>44633</v>
      </c>
      <c r="E619" t="s">
        <v>13</v>
      </c>
      <c r="F619" t="s">
        <v>35</v>
      </c>
      <c r="G619">
        <v>753</v>
      </c>
      <c r="H619" s="3">
        <v>88.02</v>
      </c>
      <c r="I619" s="3">
        <v>79.92</v>
      </c>
      <c r="J619">
        <v>75</v>
      </c>
      <c r="K619" t="s">
        <v>15</v>
      </c>
      <c r="L619">
        <f t="shared" si="45"/>
        <v>20</v>
      </c>
      <c r="M619" s="3">
        <f>Table1[[#This Row],[Quantity]]*Table1[[#This Row],[Negotiated_Price]]</f>
        <v>60179.76</v>
      </c>
      <c r="N619" s="3">
        <f>Table1[[#This Row],[Quantity]]*Table1[[#This Row],[Unit_Price]]</f>
        <v>66279.06</v>
      </c>
      <c r="O619" s="3">
        <f>Table1[[#This Row],[ Original_Spend ]]-Table1[[#This Row],[ Total_Spend ]]</f>
        <v>6099.2999999999956</v>
      </c>
      <c r="P619" s="2">
        <f t="shared" si="46"/>
        <v>9.2024539877300554E-2</v>
      </c>
      <c r="Q619" s="2">
        <f t="shared" si="47"/>
        <v>9.9601593625498003E-2</v>
      </c>
      <c r="R619" t="str">
        <f t="shared" si="48"/>
        <v>Pending</v>
      </c>
      <c r="S619" t="str">
        <f t="shared" si="49"/>
        <v>Status-Date Conflict</v>
      </c>
    </row>
    <row r="620" spans="1:19" x14ac:dyDescent="0.25">
      <c r="A620" t="s">
        <v>645</v>
      </c>
      <c r="B620" t="s">
        <v>23</v>
      </c>
      <c r="C620" s="1">
        <v>45132</v>
      </c>
      <c r="D620" s="1">
        <v>45152</v>
      </c>
      <c r="E620" t="s">
        <v>39</v>
      </c>
      <c r="F620" t="s">
        <v>18</v>
      </c>
      <c r="G620">
        <v>1520</v>
      </c>
      <c r="H620" s="3">
        <v>93.75</v>
      </c>
      <c r="I620" s="3">
        <v>81.63</v>
      </c>
      <c r="J620">
        <v>149</v>
      </c>
      <c r="K620" t="s">
        <v>15</v>
      </c>
      <c r="L620">
        <f t="shared" si="45"/>
        <v>20</v>
      </c>
      <c r="M620" s="3">
        <f>Table1[[#This Row],[Quantity]]*Table1[[#This Row],[Negotiated_Price]]</f>
        <v>124077.59999999999</v>
      </c>
      <c r="N620" s="3">
        <f>Table1[[#This Row],[Quantity]]*Table1[[#This Row],[Unit_Price]]</f>
        <v>142500</v>
      </c>
      <c r="O620" s="3">
        <f>Table1[[#This Row],[ Original_Spend ]]-Table1[[#This Row],[ Total_Spend ]]</f>
        <v>18422.400000000009</v>
      </c>
      <c r="P620" s="2">
        <f t="shared" si="46"/>
        <v>0.12928000000000006</v>
      </c>
      <c r="Q620" s="2">
        <f t="shared" si="47"/>
        <v>9.8026315789473684E-2</v>
      </c>
      <c r="R620" t="str">
        <f t="shared" si="48"/>
        <v>Late</v>
      </c>
      <c r="S620" t="str">
        <f t="shared" si="49"/>
        <v>OK</v>
      </c>
    </row>
    <row r="621" spans="1:19" x14ac:dyDescent="0.25">
      <c r="A621" t="s">
        <v>646</v>
      </c>
      <c r="B621" t="s">
        <v>17</v>
      </c>
      <c r="C621" s="1">
        <v>44817</v>
      </c>
      <c r="D621" s="1">
        <v>44836</v>
      </c>
      <c r="E621" t="s">
        <v>13</v>
      </c>
      <c r="F621" t="s">
        <v>18</v>
      </c>
      <c r="G621">
        <v>630</v>
      </c>
      <c r="H621" s="3">
        <v>40.270000000000003</v>
      </c>
      <c r="I621" s="3">
        <v>37.54</v>
      </c>
      <c r="J621">
        <v>76</v>
      </c>
      <c r="K621" t="s">
        <v>15</v>
      </c>
      <c r="L621">
        <f t="shared" si="45"/>
        <v>19</v>
      </c>
      <c r="M621" s="3">
        <f>Table1[[#This Row],[Quantity]]*Table1[[#This Row],[Negotiated_Price]]</f>
        <v>23650.2</v>
      </c>
      <c r="N621" s="3">
        <f>Table1[[#This Row],[Quantity]]*Table1[[#This Row],[Unit_Price]]</f>
        <v>25370.100000000002</v>
      </c>
      <c r="O621" s="3">
        <f>Table1[[#This Row],[ Original_Spend ]]-Table1[[#This Row],[ Total_Spend ]]</f>
        <v>1719.9000000000015</v>
      </c>
      <c r="P621" s="2">
        <f t="shared" si="46"/>
        <v>6.7792401291283888E-2</v>
      </c>
      <c r="Q621" s="2">
        <f t="shared" si="47"/>
        <v>0.12063492063492064</v>
      </c>
      <c r="R621" t="str">
        <f t="shared" si="48"/>
        <v>Late</v>
      </c>
      <c r="S621" t="str">
        <f t="shared" si="49"/>
        <v>OK</v>
      </c>
    </row>
    <row r="622" spans="1:19" x14ac:dyDescent="0.25">
      <c r="A622" t="s">
        <v>647</v>
      </c>
      <c r="B622" t="s">
        <v>17</v>
      </c>
      <c r="C622" s="1">
        <v>44686</v>
      </c>
      <c r="D622" s="1">
        <v>44687</v>
      </c>
      <c r="E622" t="s">
        <v>13</v>
      </c>
      <c r="F622" t="s">
        <v>18</v>
      </c>
      <c r="G622">
        <v>839</v>
      </c>
      <c r="H622" s="3">
        <v>86.29</v>
      </c>
      <c r="I622" s="3">
        <v>82.51</v>
      </c>
      <c r="J622">
        <v>110</v>
      </c>
      <c r="K622" t="s">
        <v>15</v>
      </c>
      <c r="L622">
        <f t="shared" si="45"/>
        <v>1</v>
      </c>
      <c r="M622" s="3">
        <f>Table1[[#This Row],[Quantity]]*Table1[[#This Row],[Negotiated_Price]]</f>
        <v>69225.89</v>
      </c>
      <c r="N622" s="3">
        <f>Table1[[#This Row],[Quantity]]*Table1[[#This Row],[Unit_Price]]</f>
        <v>72397.310000000012</v>
      </c>
      <c r="O622" s="3">
        <f>Table1[[#This Row],[ Original_Spend ]]-Table1[[#This Row],[ Total_Spend ]]</f>
        <v>3171.4200000000128</v>
      </c>
      <c r="P622" s="2">
        <f t="shared" si="46"/>
        <v>4.3805771236528158E-2</v>
      </c>
      <c r="Q622" s="2">
        <f t="shared" si="47"/>
        <v>0.13110846245530394</v>
      </c>
      <c r="R622" t="str">
        <f t="shared" si="48"/>
        <v>On Time</v>
      </c>
      <c r="S622" t="str">
        <f t="shared" si="49"/>
        <v>OK</v>
      </c>
    </row>
    <row r="623" spans="1:19" x14ac:dyDescent="0.25">
      <c r="A623" t="s">
        <v>648</v>
      </c>
      <c r="B623" t="s">
        <v>12</v>
      </c>
      <c r="C623" s="1">
        <v>45029</v>
      </c>
      <c r="D623" s="1">
        <v>45048</v>
      </c>
      <c r="E623" t="s">
        <v>39</v>
      </c>
      <c r="F623" t="s">
        <v>18</v>
      </c>
      <c r="G623">
        <v>910</v>
      </c>
      <c r="H623" s="3">
        <v>14.33</v>
      </c>
      <c r="I623" s="3">
        <v>14.07</v>
      </c>
      <c r="J623">
        <v>27</v>
      </c>
      <c r="K623" t="s">
        <v>15</v>
      </c>
      <c r="L623">
        <f t="shared" si="45"/>
        <v>19</v>
      </c>
      <c r="M623" s="3">
        <f>Table1[[#This Row],[Quantity]]*Table1[[#This Row],[Negotiated_Price]]</f>
        <v>12803.7</v>
      </c>
      <c r="N623" s="3">
        <f>Table1[[#This Row],[Quantity]]*Table1[[#This Row],[Unit_Price]]</f>
        <v>13040.3</v>
      </c>
      <c r="O623" s="3">
        <f>Table1[[#This Row],[ Original_Spend ]]-Table1[[#This Row],[ Total_Spend ]]</f>
        <v>236.59999999999854</v>
      </c>
      <c r="P623" s="2">
        <f t="shared" si="46"/>
        <v>1.8143754361479303E-2</v>
      </c>
      <c r="Q623" s="2">
        <f t="shared" si="47"/>
        <v>2.9670329670329669E-2</v>
      </c>
      <c r="R623" t="str">
        <f t="shared" si="48"/>
        <v>Late</v>
      </c>
      <c r="S623" t="str">
        <f t="shared" si="49"/>
        <v>OK</v>
      </c>
    </row>
    <row r="624" spans="1:19" x14ac:dyDescent="0.25">
      <c r="A624" t="s">
        <v>649</v>
      </c>
      <c r="B624" t="s">
        <v>29</v>
      </c>
      <c r="C624" s="1">
        <v>44698</v>
      </c>
      <c r="D624" s="1">
        <v>44705</v>
      </c>
      <c r="E624" t="s">
        <v>26</v>
      </c>
      <c r="F624" t="s">
        <v>18</v>
      </c>
      <c r="G624">
        <v>296</v>
      </c>
      <c r="H624" s="3">
        <v>64.94</v>
      </c>
      <c r="I624" s="3">
        <v>63.61</v>
      </c>
      <c r="K624" t="s">
        <v>15</v>
      </c>
      <c r="L624">
        <f t="shared" si="45"/>
        <v>7</v>
      </c>
      <c r="M624" s="3">
        <f>Table1[[#This Row],[Quantity]]*Table1[[#This Row],[Negotiated_Price]]</f>
        <v>18828.560000000001</v>
      </c>
      <c r="N624" s="3">
        <f>Table1[[#This Row],[Quantity]]*Table1[[#This Row],[Unit_Price]]</f>
        <v>19222.239999999998</v>
      </c>
      <c r="O624" s="3">
        <f>Table1[[#This Row],[ Original_Spend ]]-Table1[[#This Row],[ Total_Spend ]]</f>
        <v>393.67999999999665</v>
      </c>
      <c r="P624" s="2">
        <f t="shared" si="46"/>
        <v>2.048044348629487E-2</v>
      </c>
      <c r="Q624" s="2">
        <f t="shared" si="47"/>
        <v>0</v>
      </c>
      <c r="R624" t="str">
        <f t="shared" si="48"/>
        <v>On Time</v>
      </c>
      <c r="S624" t="str">
        <f t="shared" si="49"/>
        <v>OK</v>
      </c>
    </row>
    <row r="625" spans="1:19" x14ac:dyDescent="0.25">
      <c r="A625" t="s">
        <v>650</v>
      </c>
      <c r="B625" t="s">
        <v>23</v>
      </c>
      <c r="C625" s="1">
        <v>45037</v>
      </c>
      <c r="D625" s="1">
        <v>45051</v>
      </c>
      <c r="E625" t="s">
        <v>21</v>
      </c>
      <c r="F625" t="s">
        <v>18</v>
      </c>
      <c r="G625">
        <v>1149</v>
      </c>
      <c r="H625" s="3">
        <v>33</v>
      </c>
      <c r="I625" s="3">
        <v>30.65</v>
      </c>
      <c r="J625">
        <v>141</v>
      </c>
      <c r="K625" t="s">
        <v>15</v>
      </c>
      <c r="L625">
        <f t="shared" si="45"/>
        <v>14</v>
      </c>
      <c r="M625" s="3">
        <f>Table1[[#This Row],[Quantity]]*Table1[[#This Row],[Negotiated_Price]]</f>
        <v>35216.85</v>
      </c>
      <c r="N625" s="3">
        <f>Table1[[#This Row],[Quantity]]*Table1[[#This Row],[Unit_Price]]</f>
        <v>37917</v>
      </c>
      <c r="O625" s="3">
        <f>Table1[[#This Row],[ Original_Spend ]]-Table1[[#This Row],[ Total_Spend ]]</f>
        <v>2700.1500000000015</v>
      </c>
      <c r="P625" s="2">
        <f t="shared" si="46"/>
        <v>7.1212121212121254E-2</v>
      </c>
      <c r="Q625" s="2">
        <f t="shared" si="47"/>
        <v>0.12271540469973891</v>
      </c>
      <c r="R625" t="str">
        <f t="shared" si="48"/>
        <v>Late</v>
      </c>
      <c r="S625" t="str">
        <f t="shared" si="49"/>
        <v>OK</v>
      </c>
    </row>
    <row r="626" spans="1:19" x14ac:dyDescent="0.25">
      <c r="A626" t="s">
        <v>651</v>
      </c>
      <c r="B626" t="s">
        <v>17</v>
      </c>
      <c r="C626" s="1">
        <v>45245</v>
      </c>
      <c r="D626" s="1">
        <v>45246</v>
      </c>
      <c r="E626" t="s">
        <v>39</v>
      </c>
      <c r="F626" t="s">
        <v>18</v>
      </c>
      <c r="G626">
        <v>203</v>
      </c>
      <c r="H626" s="3">
        <v>23.14</v>
      </c>
      <c r="I626" s="3">
        <v>20</v>
      </c>
      <c r="K626" t="s">
        <v>27</v>
      </c>
      <c r="L626">
        <f t="shared" si="45"/>
        <v>1</v>
      </c>
      <c r="M626" s="3">
        <f>Table1[[#This Row],[Quantity]]*Table1[[#This Row],[Negotiated_Price]]</f>
        <v>4060</v>
      </c>
      <c r="N626" s="3">
        <f>Table1[[#This Row],[Quantity]]*Table1[[#This Row],[Unit_Price]]</f>
        <v>4697.42</v>
      </c>
      <c r="O626" s="3">
        <f>Table1[[#This Row],[ Original_Spend ]]-Table1[[#This Row],[ Total_Spend ]]</f>
        <v>637.42000000000007</v>
      </c>
      <c r="P626" s="2">
        <f t="shared" si="46"/>
        <v>0.13569576490924806</v>
      </c>
      <c r="Q626" s="2">
        <f t="shared" si="47"/>
        <v>0</v>
      </c>
      <c r="R626" t="str">
        <f t="shared" si="48"/>
        <v>On Time</v>
      </c>
      <c r="S626" t="str">
        <f t="shared" si="49"/>
        <v>OK</v>
      </c>
    </row>
    <row r="627" spans="1:19" x14ac:dyDescent="0.25">
      <c r="A627" t="s">
        <v>652</v>
      </c>
      <c r="B627" t="s">
        <v>29</v>
      </c>
      <c r="C627" s="1">
        <v>45105</v>
      </c>
      <c r="D627" s="1">
        <v>45123</v>
      </c>
      <c r="E627" t="s">
        <v>13</v>
      </c>
      <c r="F627" t="s">
        <v>18</v>
      </c>
      <c r="G627">
        <v>1729</v>
      </c>
      <c r="H627" s="3">
        <v>18.36</v>
      </c>
      <c r="I627" s="3">
        <v>16.34</v>
      </c>
      <c r="J627">
        <v>47</v>
      </c>
      <c r="K627" t="s">
        <v>15</v>
      </c>
      <c r="L627">
        <f t="shared" si="45"/>
        <v>18</v>
      </c>
      <c r="M627" s="3">
        <f>Table1[[#This Row],[Quantity]]*Table1[[#This Row],[Negotiated_Price]]</f>
        <v>28251.86</v>
      </c>
      <c r="N627" s="3">
        <f>Table1[[#This Row],[Quantity]]*Table1[[#This Row],[Unit_Price]]</f>
        <v>31744.44</v>
      </c>
      <c r="O627" s="3">
        <f>Table1[[#This Row],[ Original_Spend ]]-Table1[[#This Row],[ Total_Spend ]]</f>
        <v>3492.5799999999981</v>
      </c>
      <c r="P627" s="2">
        <f t="shared" si="46"/>
        <v>0.11002178649237468</v>
      </c>
      <c r="Q627" s="2">
        <f t="shared" si="47"/>
        <v>2.7183342972816656E-2</v>
      </c>
      <c r="R627" t="str">
        <f t="shared" si="48"/>
        <v>Late</v>
      </c>
      <c r="S627" t="str">
        <f t="shared" si="49"/>
        <v>OK</v>
      </c>
    </row>
    <row r="628" spans="1:19" x14ac:dyDescent="0.25">
      <c r="A628" t="s">
        <v>653</v>
      </c>
      <c r="B628" t="s">
        <v>17</v>
      </c>
      <c r="C628" s="1">
        <v>45134</v>
      </c>
      <c r="D628" s="1">
        <v>45144</v>
      </c>
      <c r="E628" t="s">
        <v>13</v>
      </c>
      <c r="F628" t="s">
        <v>18</v>
      </c>
      <c r="G628">
        <v>1508</v>
      </c>
      <c r="H628" s="3">
        <v>79.209999999999994</v>
      </c>
      <c r="I628" s="3">
        <v>73.27</v>
      </c>
      <c r="J628">
        <v>226</v>
      </c>
      <c r="K628" t="s">
        <v>15</v>
      </c>
      <c r="L628">
        <f t="shared" si="45"/>
        <v>10</v>
      </c>
      <c r="M628" s="3">
        <f>Table1[[#This Row],[Quantity]]*Table1[[#This Row],[Negotiated_Price]]</f>
        <v>110491.15999999999</v>
      </c>
      <c r="N628" s="3">
        <f>Table1[[#This Row],[Quantity]]*Table1[[#This Row],[Unit_Price]]</f>
        <v>119448.68</v>
      </c>
      <c r="O628" s="3">
        <f>Table1[[#This Row],[ Original_Spend ]]-Table1[[#This Row],[ Total_Spend ]]</f>
        <v>8957.5200000000041</v>
      </c>
      <c r="P628" s="2">
        <f t="shared" si="46"/>
        <v>7.4990531498548202E-2</v>
      </c>
      <c r="Q628" s="2">
        <f t="shared" si="47"/>
        <v>0.14986737400530503</v>
      </c>
      <c r="R628" t="str">
        <f t="shared" si="48"/>
        <v>On Time</v>
      </c>
      <c r="S628" t="str">
        <f t="shared" si="49"/>
        <v>OK</v>
      </c>
    </row>
    <row r="629" spans="1:19" x14ac:dyDescent="0.25">
      <c r="A629" t="s">
        <v>654</v>
      </c>
      <c r="B629" t="s">
        <v>17</v>
      </c>
      <c r="C629" s="1">
        <v>45171</v>
      </c>
      <c r="D629" s="1">
        <v>45184</v>
      </c>
      <c r="E629" t="s">
        <v>24</v>
      </c>
      <c r="F629" t="s">
        <v>33</v>
      </c>
      <c r="G629">
        <v>1046</v>
      </c>
      <c r="H629" s="3">
        <v>44.65</v>
      </c>
      <c r="I629" s="3">
        <v>40.1</v>
      </c>
      <c r="J629">
        <v>165</v>
      </c>
      <c r="K629" t="s">
        <v>27</v>
      </c>
      <c r="L629">
        <f t="shared" si="45"/>
        <v>13</v>
      </c>
      <c r="M629" s="3">
        <f>Table1[[#This Row],[Quantity]]*Table1[[#This Row],[Negotiated_Price]]</f>
        <v>41944.6</v>
      </c>
      <c r="N629" s="3">
        <f>Table1[[#This Row],[Quantity]]*Table1[[#This Row],[Unit_Price]]</f>
        <v>46703.9</v>
      </c>
      <c r="O629" s="3">
        <f>Table1[[#This Row],[ Original_Spend ]]-Table1[[#This Row],[ Total_Spend ]]</f>
        <v>4759.3000000000029</v>
      </c>
      <c r="P629" s="2">
        <f t="shared" si="46"/>
        <v>0.10190369540873466</v>
      </c>
      <c r="Q629" s="2">
        <f t="shared" si="47"/>
        <v>0.15774378585086041</v>
      </c>
      <c r="R629" t="str">
        <f t="shared" si="48"/>
        <v>Partially Delivered</v>
      </c>
      <c r="S629" t="str">
        <f t="shared" si="49"/>
        <v>Status-Date Conflict</v>
      </c>
    </row>
    <row r="630" spans="1:19" x14ac:dyDescent="0.25">
      <c r="A630" t="s">
        <v>655</v>
      </c>
      <c r="B630" t="s">
        <v>12</v>
      </c>
      <c r="C630" s="1">
        <v>44886</v>
      </c>
      <c r="D630" s="1">
        <v>44889</v>
      </c>
      <c r="E630" t="s">
        <v>13</v>
      </c>
      <c r="F630" t="s">
        <v>18</v>
      </c>
      <c r="G630">
        <v>1159</v>
      </c>
      <c r="H630" s="3">
        <v>78.989999999999995</v>
      </c>
      <c r="I630" s="3">
        <v>71.69</v>
      </c>
      <c r="J630">
        <v>14</v>
      </c>
      <c r="K630" t="s">
        <v>15</v>
      </c>
      <c r="L630">
        <f t="shared" si="45"/>
        <v>3</v>
      </c>
      <c r="M630" s="3">
        <f>Table1[[#This Row],[Quantity]]*Table1[[#This Row],[Negotiated_Price]]</f>
        <v>83088.709999999992</v>
      </c>
      <c r="N630" s="3">
        <f>Table1[[#This Row],[Quantity]]*Table1[[#This Row],[Unit_Price]]</f>
        <v>91549.409999999989</v>
      </c>
      <c r="O630" s="3">
        <f>Table1[[#This Row],[ Original_Spend ]]-Table1[[#This Row],[ Total_Spend ]]</f>
        <v>8460.6999999999971</v>
      </c>
      <c r="P630" s="2">
        <f t="shared" si="46"/>
        <v>9.2416761615394333E-2</v>
      </c>
      <c r="Q630" s="2">
        <f t="shared" si="47"/>
        <v>1.2079378774805867E-2</v>
      </c>
      <c r="R630" t="str">
        <f t="shared" si="48"/>
        <v>On Time</v>
      </c>
      <c r="S630" t="str">
        <f t="shared" si="49"/>
        <v>OK</v>
      </c>
    </row>
    <row r="631" spans="1:19" x14ac:dyDescent="0.25">
      <c r="A631" t="s">
        <v>656</v>
      </c>
      <c r="B631" t="s">
        <v>23</v>
      </c>
      <c r="C631" s="1">
        <v>45015</v>
      </c>
      <c r="D631" s="1">
        <v>45021</v>
      </c>
      <c r="E631" t="s">
        <v>39</v>
      </c>
      <c r="F631" t="s">
        <v>18</v>
      </c>
      <c r="G631">
        <v>746</v>
      </c>
      <c r="H631" s="3">
        <v>16.989999999999998</v>
      </c>
      <c r="I631" s="3">
        <v>15.35</v>
      </c>
      <c r="J631">
        <v>69</v>
      </c>
      <c r="K631" t="s">
        <v>27</v>
      </c>
      <c r="L631">
        <f t="shared" si="45"/>
        <v>6</v>
      </c>
      <c r="M631" s="3">
        <f>Table1[[#This Row],[Quantity]]*Table1[[#This Row],[Negotiated_Price]]</f>
        <v>11451.1</v>
      </c>
      <c r="N631" s="3">
        <f>Table1[[#This Row],[Quantity]]*Table1[[#This Row],[Unit_Price]]</f>
        <v>12674.539999999999</v>
      </c>
      <c r="O631" s="3">
        <f>Table1[[#This Row],[ Original_Spend ]]-Table1[[#This Row],[ Total_Spend ]]</f>
        <v>1223.4399999999987</v>
      </c>
      <c r="P631" s="2">
        <f t="shared" si="46"/>
        <v>9.6527369040612029E-2</v>
      </c>
      <c r="Q631" s="2">
        <f t="shared" si="47"/>
        <v>9.2493297587131373E-2</v>
      </c>
      <c r="R631" t="str">
        <f t="shared" si="48"/>
        <v>On Time</v>
      </c>
      <c r="S631" t="str">
        <f t="shared" si="49"/>
        <v>OK</v>
      </c>
    </row>
    <row r="632" spans="1:19" x14ac:dyDescent="0.25">
      <c r="A632" t="s">
        <v>657</v>
      </c>
      <c r="B632" t="s">
        <v>23</v>
      </c>
      <c r="C632" s="1">
        <v>45189</v>
      </c>
      <c r="D632" s="1">
        <v>45205</v>
      </c>
      <c r="E632" t="s">
        <v>24</v>
      </c>
      <c r="F632" t="s">
        <v>18</v>
      </c>
      <c r="G632">
        <v>1358</v>
      </c>
      <c r="H632" s="3">
        <v>42.21</v>
      </c>
      <c r="I632" s="3">
        <v>38.75</v>
      </c>
      <c r="J632">
        <v>128</v>
      </c>
      <c r="K632" t="s">
        <v>15</v>
      </c>
      <c r="L632">
        <f t="shared" si="45"/>
        <v>16</v>
      </c>
      <c r="M632" s="3">
        <f>Table1[[#This Row],[Quantity]]*Table1[[#This Row],[Negotiated_Price]]</f>
        <v>52622.5</v>
      </c>
      <c r="N632" s="3">
        <f>Table1[[#This Row],[Quantity]]*Table1[[#This Row],[Unit_Price]]</f>
        <v>57321.18</v>
      </c>
      <c r="O632" s="3">
        <f>Table1[[#This Row],[ Original_Spend ]]-Table1[[#This Row],[ Total_Spend ]]</f>
        <v>4698.68</v>
      </c>
      <c r="P632" s="2">
        <f t="shared" si="46"/>
        <v>8.197109689647003E-2</v>
      </c>
      <c r="Q632" s="2">
        <f t="shared" si="47"/>
        <v>9.4256259204712811E-2</v>
      </c>
      <c r="R632" t="str">
        <f t="shared" si="48"/>
        <v>Late</v>
      </c>
      <c r="S632" t="str">
        <f t="shared" si="49"/>
        <v>OK</v>
      </c>
    </row>
    <row r="633" spans="1:19" x14ac:dyDescent="0.25">
      <c r="A633" t="s">
        <v>658</v>
      </c>
      <c r="B633" t="s">
        <v>20</v>
      </c>
      <c r="C633" s="1">
        <v>45078</v>
      </c>
      <c r="D633" s="1">
        <v>45089</v>
      </c>
      <c r="E633" t="s">
        <v>13</v>
      </c>
      <c r="F633" t="s">
        <v>18</v>
      </c>
      <c r="G633">
        <v>1293</v>
      </c>
      <c r="H633" s="3">
        <v>63.53</v>
      </c>
      <c r="I633" s="3">
        <v>59.42</v>
      </c>
      <c r="J633">
        <v>79</v>
      </c>
      <c r="K633" t="s">
        <v>15</v>
      </c>
      <c r="L633">
        <f t="shared" si="45"/>
        <v>11</v>
      </c>
      <c r="M633" s="3">
        <f>Table1[[#This Row],[Quantity]]*Table1[[#This Row],[Negotiated_Price]]</f>
        <v>76830.06</v>
      </c>
      <c r="N633" s="3">
        <f>Table1[[#This Row],[Quantity]]*Table1[[#This Row],[Unit_Price]]</f>
        <v>82144.290000000008</v>
      </c>
      <c r="O633" s="3">
        <f>Table1[[#This Row],[ Original_Spend ]]-Table1[[#This Row],[ Total_Spend ]]</f>
        <v>5314.2300000000105</v>
      </c>
      <c r="P633" s="2">
        <f t="shared" si="46"/>
        <v>6.4693845427357274E-2</v>
      </c>
      <c r="Q633" s="2">
        <f t="shared" si="47"/>
        <v>6.1098221191028618E-2</v>
      </c>
      <c r="R633" t="str">
        <f t="shared" si="48"/>
        <v>Late</v>
      </c>
      <c r="S633" t="str">
        <f t="shared" si="49"/>
        <v>OK</v>
      </c>
    </row>
    <row r="634" spans="1:19" x14ac:dyDescent="0.25">
      <c r="A634" t="s">
        <v>659</v>
      </c>
      <c r="B634" t="s">
        <v>12</v>
      </c>
      <c r="C634" s="1">
        <v>44998</v>
      </c>
      <c r="D634" s="1">
        <v>45009</v>
      </c>
      <c r="E634" t="s">
        <v>39</v>
      </c>
      <c r="F634" t="s">
        <v>18</v>
      </c>
      <c r="G634">
        <v>1142</v>
      </c>
      <c r="H634" s="3">
        <v>86.85</v>
      </c>
      <c r="I634" s="3">
        <v>74.28</v>
      </c>
      <c r="J634">
        <v>30</v>
      </c>
      <c r="K634" t="s">
        <v>15</v>
      </c>
      <c r="L634">
        <f t="shared" si="45"/>
        <v>11</v>
      </c>
      <c r="M634" s="3">
        <f>Table1[[#This Row],[Quantity]]*Table1[[#This Row],[Negotiated_Price]]</f>
        <v>84827.76</v>
      </c>
      <c r="N634" s="3">
        <f>Table1[[#This Row],[Quantity]]*Table1[[#This Row],[Unit_Price]]</f>
        <v>99182.7</v>
      </c>
      <c r="O634" s="3">
        <f>Table1[[#This Row],[ Original_Spend ]]-Table1[[#This Row],[ Total_Spend ]]</f>
        <v>14354.940000000002</v>
      </c>
      <c r="P634" s="2">
        <f t="shared" si="46"/>
        <v>0.14473229706390331</v>
      </c>
      <c r="Q634" s="2">
        <f t="shared" si="47"/>
        <v>2.6269702276707531E-2</v>
      </c>
      <c r="R634" t="str">
        <f t="shared" si="48"/>
        <v>Late</v>
      </c>
      <c r="S634" t="str">
        <f t="shared" si="49"/>
        <v>OK</v>
      </c>
    </row>
    <row r="635" spans="1:19" x14ac:dyDescent="0.25">
      <c r="A635" t="s">
        <v>660</v>
      </c>
      <c r="B635" t="s">
        <v>29</v>
      </c>
      <c r="C635" s="1">
        <v>45123</v>
      </c>
      <c r="D635" s="1">
        <v>45134</v>
      </c>
      <c r="E635" t="s">
        <v>21</v>
      </c>
      <c r="F635" t="s">
        <v>18</v>
      </c>
      <c r="G635">
        <v>1120</v>
      </c>
      <c r="H635" s="3">
        <v>42.17</v>
      </c>
      <c r="I635" s="3">
        <v>37.47</v>
      </c>
      <c r="J635">
        <v>33</v>
      </c>
      <c r="K635" t="s">
        <v>15</v>
      </c>
      <c r="L635">
        <f t="shared" si="45"/>
        <v>11</v>
      </c>
      <c r="M635" s="3">
        <f>Table1[[#This Row],[Quantity]]*Table1[[#This Row],[Negotiated_Price]]</f>
        <v>41966.400000000001</v>
      </c>
      <c r="N635" s="3">
        <f>Table1[[#This Row],[Quantity]]*Table1[[#This Row],[Unit_Price]]</f>
        <v>47230.400000000001</v>
      </c>
      <c r="O635" s="3">
        <f>Table1[[#This Row],[ Original_Spend ]]-Table1[[#This Row],[ Total_Spend ]]</f>
        <v>5264</v>
      </c>
      <c r="P635" s="2">
        <f t="shared" si="46"/>
        <v>0.11145364002845624</v>
      </c>
      <c r="Q635" s="2">
        <f t="shared" si="47"/>
        <v>2.9464285714285714E-2</v>
      </c>
      <c r="R635" t="str">
        <f t="shared" si="48"/>
        <v>Late</v>
      </c>
      <c r="S635" t="str">
        <f t="shared" si="49"/>
        <v>OK</v>
      </c>
    </row>
    <row r="636" spans="1:19" x14ac:dyDescent="0.25">
      <c r="A636" t="s">
        <v>661</v>
      </c>
      <c r="B636" t="s">
        <v>12</v>
      </c>
      <c r="C636" s="1">
        <v>45018</v>
      </c>
      <c r="D636" s="1">
        <v>45030</v>
      </c>
      <c r="E636" t="s">
        <v>21</v>
      </c>
      <c r="F636" t="s">
        <v>18</v>
      </c>
      <c r="G636">
        <v>1058</v>
      </c>
      <c r="H636" s="3">
        <v>71.3</v>
      </c>
      <c r="I636" s="3">
        <v>62.04</v>
      </c>
      <c r="K636" t="s">
        <v>15</v>
      </c>
      <c r="L636">
        <f t="shared" si="45"/>
        <v>12</v>
      </c>
      <c r="M636" s="3">
        <f>Table1[[#This Row],[Quantity]]*Table1[[#This Row],[Negotiated_Price]]</f>
        <v>65638.319999999992</v>
      </c>
      <c r="N636" s="3">
        <f>Table1[[#This Row],[Quantity]]*Table1[[#This Row],[Unit_Price]]</f>
        <v>75435.399999999994</v>
      </c>
      <c r="O636" s="3">
        <f>Table1[[#This Row],[ Original_Spend ]]-Table1[[#This Row],[ Total_Spend ]]</f>
        <v>9797.0800000000017</v>
      </c>
      <c r="P636" s="2">
        <f t="shared" si="46"/>
        <v>0.12987377279102388</v>
      </c>
      <c r="Q636" s="2">
        <f t="shared" si="47"/>
        <v>0</v>
      </c>
      <c r="R636" t="str">
        <f t="shared" si="48"/>
        <v>Late</v>
      </c>
      <c r="S636" t="str">
        <f t="shared" si="49"/>
        <v>OK</v>
      </c>
    </row>
    <row r="637" spans="1:19" x14ac:dyDescent="0.25">
      <c r="A637" t="s">
        <v>662</v>
      </c>
      <c r="B637" t="s">
        <v>29</v>
      </c>
      <c r="C637" s="1">
        <v>44724</v>
      </c>
      <c r="E637" t="s">
        <v>13</v>
      </c>
      <c r="F637" t="s">
        <v>18</v>
      </c>
      <c r="G637">
        <v>143</v>
      </c>
      <c r="H637" s="3">
        <v>91.98</v>
      </c>
      <c r="I637" s="3">
        <v>86.02</v>
      </c>
      <c r="J637">
        <v>5</v>
      </c>
      <c r="K637" t="s">
        <v>15</v>
      </c>
      <c r="L637" t="str">
        <f t="shared" si="45"/>
        <v/>
      </c>
      <c r="M637" s="3">
        <f>Table1[[#This Row],[Quantity]]*Table1[[#This Row],[Negotiated_Price]]</f>
        <v>12300.859999999999</v>
      </c>
      <c r="N637" s="3">
        <f>Table1[[#This Row],[Quantity]]*Table1[[#This Row],[Unit_Price]]</f>
        <v>13153.140000000001</v>
      </c>
      <c r="O637" s="3">
        <f>Table1[[#This Row],[ Original_Spend ]]-Table1[[#This Row],[ Total_Spend ]]</f>
        <v>852.28000000000247</v>
      </c>
      <c r="P637" s="2">
        <f t="shared" si="46"/>
        <v>6.4796694933681412E-2</v>
      </c>
      <c r="Q637" s="2">
        <f t="shared" si="47"/>
        <v>3.4965034965034968E-2</v>
      </c>
      <c r="R637" t="str">
        <f t="shared" si="48"/>
        <v>Missing Delivery Date</v>
      </c>
      <c r="S637" t="str">
        <f t="shared" si="49"/>
        <v>Missing Delivery Date</v>
      </c>
    </row>
    <row r="638" spans="1:19" x14ac:dyDescent="0.25">
      <c r="A638" t="s">
        <v>663</v>
      </c>
      <c r="B638" t="s">
        <v>23</v>
      </c>
      <c r="C638" s="1">
        <v>45048</v>
      </c>
      <c r="D638" s="1">
        <v>45060</v>
      </c>
      <c r="E638" t="s">
        <v>21</v>
      </c>
      <c r="F638" t="s">
        <v>18</v>
      </c>
      <c r="G638">
        <v>1823</v>
      </c>
      <c r="H638" s="3">
        <v>70.66</v>
      </c>
      <c r="I638" s="3">
        <v>66.92</v>
      </c>
      <c r="J638">
        <v>202</v>
      </c>
      <c r="K638" t="s">
        <v>15</v>
      </c>
      <c r="L638">
        <f t="shared" si="45"/>
        <v>12</v>
      </c>
      <c r="M638" s="3">
        <f>Table1[[#This Row],[Quantity]]*Table1[[#This Row],[Negotiated_Price]]</f>
        <v>121995.16</v>
      </c>
      <c r="N638" s="3">
        <f>Table1[[#This Row],[Quantity]]*Table1[[#This Row],[Unit_Price]]</f>
        <v>128813.18</v>
      </c>
      <c r="O638" s="3">
        <f>Table1[[#This Row],[ Original_Spend ]]-Table1[[#This Row],[ Total_Spend ]]</f>
        <v>6818.0199999999895</v>
      </c>
      <c r="P638" s="2">
        <f t="shared" si="46"/>
        <v>5.2929521652986054E-2</v>
      </c>
      <c r="Q638" s="2">
        <f t="shared" si="47"/>
        <v>0.11080636313768513</v>
      </c>
      <c r="R638" t="str">
        <f t="shared" si="48"/>
        <v>Late</v>
      </c>
      <c r="S638" t="str">
        <f t="shared" si="49"/>
        <v>OK</v>
      </c>
    </row>
    <row r="639" spans="1:19" x14ac:dyDescent="0.25">
      <c r="A639" t="s">
        <v>664</v>
      </c>
      <c r="B639" t="s">
        <v>20</v>
      </c>
      <c r="C639" s="1">
        <v>45022</v>
      </c>
      <c r="D639" s="1">
        <v>45026</v>
      </c>
      <c r="E639" t="s">
        <v>13</v>
      </c>
      <c r="F639" t="s">
        <v>18</v>
      </c>
      <c r="G639">
        <v>1007</v>
      </c>
      <c r="H639" s="3">
        <v>33.29</v>
      </c>
      <c r="I639" s="3">
        <v>28.48</v>
      </c>
      <c r="J639">
        <v>49</v>
      </c>
      <c r="K639" t="s">
        <v>15</v>
      </c>
      <c r="L639">
        <f t="shared" si="45"/>
        <v>4</v>
      </c>
      <c r="M639" s="3">
        <f>Table1[[#This Row],[Quantity]]*Table1[[#This Row],[Negotiated_Price]]</f>
        <v>28679.360000000001</v>
      </c>
      <c r="N639" s="3">
        <f>Table1[[#This Row],[Quantity]]*Table1[[#This Row],[Unit_Price]]</f>
        <v>33523.03</v>
      </c>
      <c r="O639" s="3">
        <f>Table1[[#This Row],[ Original_Spend ]]-Table1[[#This Row],[ Total_Spend ]]</f>
        <v>4843.6699999999983</v>
      </c>
      <c r="P639" s="2">
        <f t="shared" si="46"/>
        <v>0.14448783418443972</v>
      </c>
      <c r="Q639" s="2">
        <f t="shared" si="47"/>
        <v>4.8659384309831182E-2</v>
      </c>
      <c r="R639" t="str">
        <f t="shared" si="48"/>
        <v>On Time</v>
      </c>
      <c r="S639" t="str">
        <f t="shared" si="49"/>
        <v>OK</v>
      </c>
    </row>
    <row r="640" spans="1:19" x14ac:dyDescent="0.25">
      <c r="A640" t="s">
        <v>665</v>
      </c>
      <c r="B640" t="s">
        <v>20</v>
      </c>
      <c r="C640" s="1">
        <v>44827</v>
      </c>
      <c r="D640" s="1">
        <v>44842</v>
      </c>
      <c r="E640" t="s">
        <v>24</v>
      </c>
      <c r="F640" t="s">
        <v>18</v>
      </c>
      <c r="G640">
        <v>1061</v>
      </c>
      <c r="H640" s="3">
        <v>12.68</v>
      </c>
      <c r="I640" s="3">
        <v>12.36</v>
      </c>
      <c r="J640">
        <v>56</v>
      </c>
      <c r="K640" t="s">
        <v>27</v>
      </c>
      <c r="L640">
        <f t="shared" si="45"/>
        <v>15</v>
      </c>
      <c r="M640" s="3">
        <f>Table1[[#This Row],[Quantity]]*Table1[[#This Row],[Negotiated_Price]]</f>
        <v>13113.96</v>
      </c>
      <c r="N640" s="3">
        <f>Table1[[#This Row],[Quantity]]*Table1[[#This Row],[Unit_Price]]</f>
        <v>13453.48</v>
      </c>
      <c r="O640" s="3">
        <f>Table1[[#This Row],[ Original_Spend ]]-Table1[[#This Row],[ Total_Spend ]]</f>
        <v>339.52000000000044</v>
      </c>
      <c r="P640" s="2">
        <f t="shared" si="46"/>
        <v>2.5236593059936942E-2</v>
      </c>
      <c r="Q640" s="2">
        <f t="shared" si="47"/>
        <v>5.2780395852968898E-2</v>
      </c>
      <c r="R640" t="str">
        <f t="shared" si="48"/>
        <v>Late</v>
      </c>
      <c r="S640" t="str">
        <f t="shared" si="49"/>
        <v>OK</v>
      </c>
    </row>
    <row r="641" spans="1:19" x14ac:dyDescent="0.25">
      <c r="A641" t="s">
        <v>666</v>
      </c>
      <c r="B641" t="s">
        <v>23</v>
      </c>
      <c r="C641" s="1">
        <v>44815</v>
      </c>
      <c r="D641" s="1">
        <v>44830</v>
      </c>
      <c r="E641" t="s">
        <v>21</v>
      </c>
      <c r="F641" t="s">
        <v>35</v>
      </c>
      <c r="G641">
        <v>502</v>
      </c>
      <c r="H641" s="3">
        <v>91.84</v>
      </c>
      <c r="I641" s="3">
        <v>82.33</v>
      </c>
      <c r="K641" t="s">
        <v>15</v>
      </c>
      <c r="L641">
        <f t="shared" si="45"/>
        <v>15</v>
      </c>
      <c r="M641" s="3">
        <f>Table1[[#This Row],[Quantity]]*Table1[[#This Row],[Negotiated_Price]]</f>
        <v>41329.659999999996</v>
      </c>
      <c r="N641" s="3">
        <f>Table1[[#This Row],[Quantity]]*Table1[[#This Row],[Unit_Price]]</f>
        <v>46103.68</v>
      </c>
      <c r="O641" s="3">
        <f>Table1[[#This Row],[ Original_Spend ]]-Table1[[#This Row],[ Total_Spend ]]</f>
        <v>4774.0200000000041</v>
      </c>
      <c r="P641" s="2">
        <f t="shared" si="46"/>
        <v>0.10354965156794434</v>
      </c>
      <c r="Q641" s="2">
        <f t="shared" si="47"/>
        <v>0</v>
      </c>
      <c r="R641" t="str">
        <f t="shared" si="48"/>
        <v>Pending</v>
      </c>
      <c r="S641" t="str">
        <f t="shared" si="49"/>
        <v>Status-Date Conflict</v>
      </c>
    </row>
    <row r="642" spans="1:19" x14ac:dyDescent="0.25">
      <c r="A642" t="s">
        <v>667</v>
      </c>
      <c r="B642" t="s">
        <v>17</v>
      </c>
      <c r="C642" s="1">
        <v>45214</v>
      </c>
      <c r="D642" s="1">
        <v>45218</v>
      </c>
      <c r="E642" t="s">
        <v>24</v>
      </c>
      <c r="F642" t="s">
        <v>18</v>
      </c>
      <c r="G642">
        <v>1277</v>
      </c>
      <c r="H642" s="3">
        <v>13.17</v>
      </c>
      <c r="I642" s="3">
        <v>11.63</v>
      </c>
      <c r="J642">
        <v>199</v>
      </c>
      <c r="K642" t="s">
        <v>27</v>
      </c>
      <c r="L642">
        <f t="shared" ref="L642:L705" si="50">IF(OR(C642="",D642=""),"",D642-C642)</f>
        <v>4</v>
      </c>
      <c r="M642" s="3">
        <f>Table1[[#This Row],[Quantity]]*Table1[[#This Row],[Negotiated_Price]]</f>
        <v>14851.51</v>
      </c>
      <c r="N642" s="3">
        <f>Table1[[#This Row],[Quantity]]*Table1[[#This Row],[Unit_Price]]</f>
        <v>16818.09</v>
      </c>
      <c r="O642" s="3">
        <f>Table1[[#This Row],[ Original_Spend ]]-Table1[[#This Row],[ Total_Spend ]]</f>
        <v>1966.58</v>
      </c>
      <c r="P642" s="2">
        <f t="shared" ref="P642:P705" si="51">IFERROR(O642/N642,0)</f>
        <v>0.11693242217160212</v>
      </c>
      <c r="Q642" s="2">
        <f t="shared" ref="Q642:Q705" si="52">IFERROR(J642/G642,0)</f>
        <v>0.1558339859044636</v>
      </c>
      <c r="R642" t="str">
        <f t="shared" si="48"/>
        <v>On Time</v>
      </c>
      <c r="S642" t="str">
        <f t="shared" si="49"/>
        <v>OK</v>
      </c>
    </row>
    <row r="643" spans="1:19" x14ac:dyDescent="0.25">
      <c r="A643" t="s">
        <v>668</v>
      </c>
      <c r="B643" t="s">
        <v>12</v>
      </c>
      <c r="C643" s="1">
        <v>44845</v>
      </c>
      <c r="D643" s="1">
        <v>44858</v>
      </c>
      <c r="E643" t="s">
        <v>24</v>
      </c>
      <c r="F643" t="s">
        <v>18</v>
      </c>
      <c r="G643">
        <v>961</v>
      </c>
      <c r="H643" s="3">
        <v>92.72</v>
      </c>
      <c r="I643" s="3">
        <v>88.49</v>
      </c>
      <c r="J643">
        <v>22</v>
      </c>
      <c r="K643" t="s">
        <v>15</v>
      </c>
      <c r="L643">
        <f t="shared" si="50"/>
        <v>13</v>
      </c>
      <c r="M643" s="3">
        <f>Table1[[#This Row],[Quantity]]*Table1[[#This Row],[Negotiated_Price]]</f>
        <v>85038.89</v>
      </c>
      <c r="N643" s="3">
        <f>Table1[[#This Row],[Quantity]]*Table1[[#This Row],[Unit_Price]]</f>
        <v>89103.92</v>
      </c>
      <c r="O643" s="3">
        <f>Table1[[#This Row],[ Original_Spend ]]-Table1[[#This Row],[ Total_Spend ]]</f>
        <v>4065.0299999999988</v>
      </c>
      <c r="P643" s="2">
        <f t="shared" si="51"/>
        <v>4.5621225194132864E-2</v>
      </c>
      <c r="Q643" s="2">
        <f t="shared" si="52"/>
        <v>2.2892819979188347E-2</v>
      </c>
      <c r="R643" t="str">
        <f t="shared" ref="R643:R706" si="53">IF(F643&lt;&gt;"Delivered",F643,IF(D643="","Missing Delivery Date",IF(L643&lt;=10,"On Time","Late")))</f>
        <v>Late</v>
      </c>
      <c r="S643" t="str">
        <f t="shared" ref="S643:S706" si="54">IF(AND(F643&lt;&gt;"Delivered",D643&lt;&gt;""),"Status-Date Conflict",IF(AND(F643="Delivered",D643=""),"Missing Delivery Date","OK"))</f>
        <v>OK</v>
      </c>
    </row>
    <row r="644" spans="1:19" x14ac:dyDescent="0.25">
      <c r="A644" t="s">
        <v>669</v>
      </c>
      <c r="B644" t="s">
        <v>20</v>
      </c>
      <c r="C644" s="1">
        <v>45095</v>
      </c>
      <c r="D644" s="1">
        <v>45109</v>
      </c>
      <c r="E644" t="s">
        <v>24</v>
      </c>
      <c r="F644" t="s">
        <v>18</v>
      </c>
      <c r="G644">
        <v>267</v>
      </c>
      <c r="H644" s="3">
        <v>62.5</v>
      </c>
      <c r="I644" s="3">
        <v>61.18</v>
      </c>
      <c r="J644">
        <v>17</v>
      </c>
      <c r="K644" t="s">
        <v>15</v>
      </c>
      <c r="L644">
        <f t="shared" si="50"/>
        <v>14</v>
      </c>
      <c r="M644" s="3">
        <f>Table1[[#This Row],[Quantity]]*Table1[[#This Row],[Negotiated_Price]]</f>
        <v>16335.06</v>
      </c>
      <c r="N644" s="3">
        <f>Table1[[#This Row],[Quantity]]*Table1[[#This Row],[Unit_Price]]</f>
        <v>16687.5</v>
      </c>
      <c r="O644" s="3">
        <f>Table1[[#This Row],[ Original_Spend ]]-Table1[[#This Row],[ Total_Spend ]]</f>
        <v>352.44000000000051</v>
      </c>
      <c r="P644" s="2">
        <f t="shared" si="51"/>
        <v>2.1120000000000031E-2</v>
      </c>
      <c r="Q644" s="2">
        <f t="shared" si="52"/>
        <v>6.3670411985018729E-2</v>
      </c>
      <c r="R644" t="str">
        <f t="shared" si="53"/>
        <v>Late</v>
      </c>
      <c r="S644" t="str">
        <f t="shared" si="54"/>
        <v>OK</v>
      </c>
    </row>
    <row r="645" spans="1:19" x14ac:dyDescent="0.25">
      <c r="A645" t="s">
        <v>670</v>
      </c>
      <c r="B645" t="s">
        <v>17</v>
      </c>
      <c r="C645" s="1">
        <v>45058</v>
      </c>
      <c r="D645" s="1">
        <v>45064</v>
      </c>
      <c r="E645" t="s">
        <v>26</v>
      </c>
      <c r="F645" t="s">
        <v>14</v>
      </c>
      <c r="G645">
        <v>523</v>
      </c>
      <c r="H645" s="3">
        <v>102.08</v>
      </c>
      <c r="I645" s="3">
        <v>99.59</v>
      </c>
      <c r="K645" t="s">
        <v>15</v>
      </c>
      <c r="L645">
        <f t="shared" si="50"/>
        <v>6</v>
      </c>
      <c r="M645" s="3">
        <f>Table1[[#This Row],[Quantity]]*Table1[[#This Row],[Negotiated_Price]]</f>
        <v>52085.57</v>
      </c>
      <c r="N645" s="3">
        <f>Table1[[#This Row],[Quantity]]*Table1[[#This Row],[Unit_Price]]</f>
        <v>53387.839999999997</v>
      </c>
      <c r="O645" s="3">
        <f>Table1[[#This Row],[ Original_Spend ]]-Table1[[#This Row],[ Total_Spend ]]</f>
        <v>1302.2699999999968</v>
      </c>
      <c r="P645" s="2">
        <f t="shared" si="51"/>
        <v>2.4392633228840065E-2</v>
      </c>
      <c r="Q645" s="2">
        <f t="shared" si="52"/>
        <v>0</v>
      </c>
      <c r="R645" t="str">
        <f t="shared" si="53"/>
        <v>Cancelled</v>
      </c>
      <c r="S645" t="str">
        <f t="shared" si="54"/>
        <v>Status-Date Conflict</v>
      </c>
    </row>
    <row r="646" spans="1:19" x14ac:dyDescent="0.25">
      <c r="A646" t="s">
        <v>671</v>
      </c>
      <c r="B646" t="s">
        <v>29</v>
      </c>
      <c r="C646" s="1">
        <v>45203</v>
      </c>
      <c r="D646" s="1">
        <v>45222</v>
      </c>
      <c r="E646" t="s">
        <v>39</v>
      </c>
      <c r="F646" t="s">
        <v>35</v>
      </c>
      <c r="G646">
        <v>481</v>
      </c>
      <c r="H646" s="3">
        <v>90.49</v>
      </c>
      <c r="I646" s="3">
        <v>77.17</v>
      </c>
      <c r="K646" t="s">
        <v>15</v>
      </c>
      <c r="L646">
        <f t="shared" si="50"/>
        <v>19</v>
      </c>
      <c r="M646" s="3">
        <f>Table1[[#This Row],[Quantity]]*Table1[[#This Row],[Negotiated_Price]]</f>
        <v>37118.770000000004</v>
      </c>
      <c r="N646" s="3">
        <f>Table1[[#This Row],[Quantity]]*Table1[[#This Row],[Unit_Price]]</f>
        <v>43525.689999999995</v>
      </c>
      <c r="O646" s="3">
        <f>Table1[[#This Row],[ Original_Spend ]]-Table1[[#This Row],[ Total_Spend ]]</f>
        <v>6406.919999999991</v>
      </c>
      <c r="P646" s="2">
        <f t="shared" si="51"/>
        <v>0.14719858547905826</v>
      </c>
      <c r="Q646" s="2">
        <f t="shared" si="52"/>
        <v>0</v>
      </c>
      <c r="R646" t="str">
        <f t="shared" si="53"/>
        <v>Pending</v>
      </c>
      <c r="S646" t="str">
        <f t="shared" si="54"/>
        <v>Status-Date Conflict</v>
      </c>
    </row>
    <row r="647" spans="1:19" x14ac:dyDescent="0.25">
      <c r="A647" t="s">
        <v>672</v>
      </c>
      <c r="B647" t="s">
        <v>20</v>
      </c>
      <c r="C647" s="1">
        <v>44806</v>
      </c>
      <c r="D647" s="1">
        <v>44813</v>
      </c>
      <c r="E647" t="s">
        <v>13</v>
      </c>
      <c r="F647" t="s">
        <v>18</v>
      </c>
      <c r="G647">
        <v>390</v>
      </c>
      <c r="H647" s="3">
        <v>103.81</v>
      </c>
      <c r="I647" s="3">
        <v>100.12</v>
      </c>
      <c r="J647">
        <v>20</v>
      </c>
      <c r="K647" t="s">
        <v>15</v>
      </c>
      <c r="L647">
        <f t="shared" si="50"/>
        <v>7</v>
      </c>
      <c r="M647" s="3">
        <f>Table1[[#This Row],[Quantity]]*Table1[[#This Row],[Negotiated_Price]]</f>
        <v>39046.800000000003</v>
      </c>
      <c r="N647" s="3">
        <f>Table1[[#This Row],[Quantity]]*Table1[[#This Row],[Unit_Price]]</f>
        <v>40485.9</v>
      </c>
      <c r="O647" s="3">
        <f>Table1[[#This Row],[ Original_Spend ]]-Table1[[#This Row],[ Total_Spend ]]</f>
        <v>1439.0999999999985</v>
      </c>
      <c r="P647" s="2">
        <f t="shared" si="51"/>
        <v>3.5545708505924249E-2</v>
      </c>
      <c r="Q647" s="2">
        <f t="shared" si="52"/>
        <v>5.128205128205128E-2</v>
      </c>
      <c r="R647" t="str">
        <f t="shared" si="53"/>
        <v>On Time</v>
      </c>
      <c r="S647" t="str">
        <f t="shared" si="54"/>
        <v>OK</v>
      </c>
    </row>
    <row r="648" spans="1:19" x14ac:dyDescent="0.25">
      <c r="A648" t="s">
        <v>673</v>
      </c>
      <c r="B648" t="s">
        <v>29</v>
      </c>
      <c r="C648" s="1">
        <v>44843</v>
      </c>
      <c r="D648" s="1">
        <v>44859</v>
      </c>
      <c r="E648" t="s">
        <v>24</v>
      </c>
      <c r="F648" t="s">
        <v>18</v>
      </c>
      <c r="G648">
        <v>600</v>
      </c>
      <c r="H648" s="3">
        <v>43.43</v>
      </c>
      <c r="I648" s="3">
        <v>38.76</v>
      </c>
      <c r="J648">
        <v>22</v>
      </c>
      <c r="K648" t="s">
        <v>15</v>
      </c>
      <c r="L648">
        <f t="shared" si="50"/>
        <v>16</v>
      </c>
      <c r="M648" s="3">
        <f>Table1[[#This Row],[Quantity]]*Table1[[#This Row],[Negotiated_Price]]</f>
        <v>23256</v>
      </c>
      <c r="N648" s="3">
        <f>Table1[[#This Row],[Quantity]]*Table1[[#This Row],[Unit_Price]]</f>
        <v>26058</v>
      </c>
      <c r="O648" s="3">
        <f>Table1[[#This Row],[ Original_Spend ]]-Table1[[#This Row],[ Total_Spend ]]</f>
        <v>2802</v>
      </c>
      <c r="P648" s="2">
        <f t="shared" si="51"/>
        <v>0.10752935758692149</v>
      </c>
      <c r="Q648" s="2">
        <f t="shared" si="52"/>
        <v>3.6666666666666667E-2</v>
      </c>
      <c r="R648" t="str">
        <f t="shared" si="53"/>
        <v>Late</v>
      </c>
      <c r="S648" t="str">
        <f t="shared" si="54"/>
        <v>OK</v>
      </c>
    </row>
    <row r="649" spans="1:19" x14ac:dyDescent="0.25">
      <c r="A649" t="s">
        <v>674</v>
      </c>
      <c r="B649" t="s">
        <v>17</v>
      </c>
      <c r="C649" s="1">
        <v>45012</v>
      </c>
      <c r="E649" t="s">
        <v>13</v>
      </c>
      <c r="F649" t="s">
        <v>18</v>
      </c>
      <c r="G649">
        <v>1685</v>
      </c>
      <c r="H649" s="3">
        <v>84.58</v>
      </c>
      <c r="I649" s="3">
        <v>75.209999999999994</v>
      </c>
      <c r="J649">
        <v>253</v>
      </c>
      <c r="K649" t="s">
        <v>27</v>
      </c>
      <c r="L649" t="str">
        <f t="shared" si="50"/>
        <v/>
      </c>
      <c r="M649" s="3">
        <f>Table1[[#This Row],[Quantity]]*Table1[[#This Row],[Negotiated_Price]]</f>
        <v>126728.84999999999</v>
      </c>
      <c r="N649" s="3">
        <f>Table1[[#This Row],[Quantity]]*Table1[[#This Row],[Unit_Price]]</f>
        <v>142517.29999999999</v>
      </c>
      <c r="O649" s="3">
        <f>Table1[[#This Row],[ Original_Spend ]]-Table1[[#This Row],[ Total_Spend ]]</f>
        <v>15788.449999999997</v>
      </c>
      <c r="P649" s="2">
        <f t="shared" si="51"/>
        <v>0.11078269094348545</v>
      </c>
      <c r="Q649" s="2">
        <f t="shared" si="52"/>
        <v>0.15014836795252226</v>
      </c>
      <c r="R649" t="str">
        <f t="shared" si="53"/>
        <v>Missing Delivery Date</v>
      </c>
      <c r="S649" t="str">
        <f t="shared" si="54"/>
        <v>Missing Delivery Date</v>
      </c>
    </row>
    <row r="650" spans="1:19" x14ac:dyDescent="0.25">
      <c r="A650" t="s">
        <v>675</v>
      </c>
      <c r="B650" t="s">
        <v>29</v>
      </c>
      <c r="C650" s="1">
        <v>44641</v>
      </c>
      <c r="D650" s="1">
        <v>44651</v>
      </c>
      <c r="E650" t="s">
        <v>24</v>
      </c>
      <c r="F650" t="s">
        <v>14</v>
      </c>
      <c r="G650">
        <v>1362</v>
      </c>
      <c r="H650" s="3">
        <v>46.64</v>
      </c>
      <c r="I650" s="3">
        <v>42.85</v>
      </c>
      <c r="J650">
        <v>33</v>
      </c>
      <c r="K650" t="s">
        <v>15</v>
      </c>
      <c r="L650">
        <f t="shared" si="50"/>
        <v>10</v>
      </c>
      <c r="M650" s="3">
        <f>Table1[[#This Row],[Quantity]]*Table1[[#This Row],[Negotiated_Price]]</f>
        <v>58361.700000000004</v>
      </c>
      <c r="N650" s="3">
        <f>Table1[[#This Row],[Quantity]]*Table1[[#This Row],[Unit_Price]]</f>
        <v>63523.68</v>
      </c>
      <c r="O650" s="3">
        <f>Table1[[#This Row],[ Original_Spend ]]-Table1[[#This Row],[ Total_Spend ]]</f>
        <v>5161.9799999999959</v>
      </c>
      <c r="P650" s="2">
        <f t="shared" si="51"/>
        <v>8.1260720411663739E-2</v>
      </c>
      <c r="Q650" s="2">
        <f t="shared" si="52"/>
        <v>2.4229074889867842E-2</v>
      </c>
      <c r="R650" t="str">
        <f t="shared" si="53"/>
        <v>Cancelled</v>
      </c>
      <c r="S650" t="str">
        <f t="shared" si="54"/>
        <v>Status-Date Conflict</v>
      </c>
    </row>
    <row r="651" spans="1:19" x14ac:dyDescent="0.25">
      <c r="A651" t="s">
        <v>676</v>
      </c>
      <c r="B651" t="s">
        <v>17</v>
      </c>
      <c r="C651" s="1">
        <v>45292</v>
      </c>
      <c r="D651" s="1">
        <v>45295</v>
      </c>
      <c r="E651" t="s">
        <v>39</v>
      </c>
      <c r="F651" t="s">
        <v>35</v>
      </c>
      <c r="G651">
        <v>1327</v>
      </c>
      <c r="H651" s="3">
        <v>59.57</v>
      </c>
      <c r="I651" s="3">
        <v>56.44</v>
      </c>
      <c r="J651">
        <v>169</v>
      </c>
      <c r="K651" t="s">
        <v>15</v>
      </c>
      <c r="L651">
        <f t="shared" si="50"/>
        <v>3</v>
      </c>
      <c r="M651" s="3">
        <f>Table1[[#This Row],[Quantity]]*Table1[[#This Row],[Negotiated_Price]]</f>
        <v>74895.87999999999</v>
      </c>
      <c r="N651" s="3">
        <f>Table1[[#This Row],[Quantity]]*Table1[[#This Row],[Unit_Price]]</f>
        <v>79049.39</v>
      </c>
      <c r="O651" s="3">
        <f>Table1[[#This Row],[ Original_Spend ]]-Table1[[#This Row],[ Total_Spend ]]</f>
        <v>4153.5100000000093</v>
      </c>
      <c r="P651" s="2">
        <f t="shared" si="51"/>
        <v>5.2543226456270055E-2</v>
      </c>
      <c r="Q651" s="2">
        <f t="shared" si="52"/>
        <v>0.12735493594574226</v>
      </c>
      <c r="R651" t="str">
        <f t="shared" si="53"/>
        <v>Pending</v>
      </c>
      <c r="S651" t="str">
        <f t="shared" si="54"/>
        <v>Status-Date Conflict</v>
      </c>
    </row>
    <row r="652" spans="1:19" x14ac:dyDescent="0.25">
      <c r="A652" t="s">
        <v>677</v>
      </c>
      <c r="B652" t="s">
        <v>29</v>
      </c>
      <c r="C652" s="1">
        <v>44854</v>
      </c>
      <c r="E652" t="s">
        <v>21</v>
      </c>
      <c r="F652" t="s">
        <v>18</v>
      </c>
      <c r="G652">
        <v>1807</v>
      </c>
      <c r="H652" s="3">
        <v>69.47</v>
      </c>
      <c r="I652" s="3">
        <v>60</v>
      </c>
      <c r="J652">
        <v>50</v>
      </c>
      <c r="K652" t="s">
        <v>15</v>
      </c>
      <c r="L652" t="str">
        <f t="shared" si="50"/>
        <v/>
      </c>
      <c r="M652" s="3">
        <f>Table1[[#This Row],[Quantity]]*Table1[[#This Row],[Negotiated_Price]]</f>
        <v>108420</v>
      </c>
      <c r="N652" s="3">
        <f>Table1[[#This Row],[Quantity]]*Table1[[#This Row],[Unit_Price]]</f>
        <v>125532.29</v>
      </c>
      <c r="O652" s="3">
        <f>Table1[[#This Row],[ Original_Spend ]]-Table1[[#This Row],[ Total_Spend ]]</f>
        <v>17112.289999999994</v>
      </c>
      <c r="P652" s="2">
        <f t="shared" si="51"/>
        <v>0.13631783503670644</v>
      </c>
      <c r="Q652" s="2">
        <f t="shared" si="52"/>
        <v>2.7670171555063641E-2</v>
      </c>
      <c r="R652" t="str">
        <f t="shared" si="53"/>
        <v>Missing Delivery Date</v>
      </c>
      <c r="S652" t="str">
        <f t="shared" si="54"/>
        <v>Missing Delivery Date</v>
      </c>
    </row>
    <row r="653" spans="1:19" x14ac:dyDescent="0.25">
      <c r="A653" t="s">
        <v>678</v>
      </c>
      <c r="B653" t="s">
        <v>12</v>
      </c>
      <c r="C653" s="1">
        <v>44802</v>
      </c>
      <c r="D653" s="1">
        <v>44810</v>
      </c>
      <c r="E653" t="s">
        <v>13</v>
      </c>
      <c r="F653" t="s">
        <v>35</v>
      </c>
      <c r="G653">
        <v>406</v>
      </c>
      <c r="H653" s="3">
        <v>91.73</v>
      </c>
      <c r="I653" s="3">
        <v>89.13</v>
      </c>
      <c r="K653" t="s">
        <v>15</v>
      </c>
      <c r="L653">
        <f t="shared" si="50"/>
        <v>8</v>
      </c>
      <c r="M653" s="3">
        <f>Table1[[#This Row],[Quantity]]*Table1[[#This Row],[Negotiated_Price]]</f>
        <v>36186.78</v>
      </c>
      <c r="N653" s="3">
        <f>Table1[[#This Row],[Quantity]]*Table1[[#This Row],[Unit_Price]]</f>
        <v>37242.380000000005</v>
      </c>
      <c r="O653" s="3">
        <f>Table1[[#This Row],[ Original_Spend ]]-Table1[[#This Row],[ Total_Spend ]]</f>
        <v>1055.6000000000058</v>
      </c>
      <c r="P653" s="2">
        <f t="shared" si="51"/>
        <v>2.8344053199607696E-2</v>
      </c>
      <c r="Q653" s="2">
        <f t="shared" si="52"/>
        <v>0</v>
      </c>
      <c r="R653" t="str">
        <f t="shared" si="53"/>
        <v>Pending</v>
      </c>
      <c r="S653" t="str">
        <f t="shared" si="54"/>
        <v>Status-Date Conflict</v>
      </c>
    </row>
    <row r="654" spans="1:19" x14ac:dyDescent="0.25">
      <c r="A654" t="s">
        <v>679</v>
      </c>
      <c r="B654" t="s">
        <v>20</v>
      </c>
      <c r="C654" s="1">
        <v>44840</v>
      </c>
      <c r="D654" s="1">
        <v>44852</v>
      </c>
      <c r="E654" t="s">
        <v>26</v>
      </c>
      <c r="F654" t="s">
        <v>33</v>
      </c>
      <c r="G654">
        <v>72</v>
      </c>
      <c r="H654" s="3">
        <v>103</v>
      </c>
      <c r="I654" s="3">
        <v>89.49</v>
      </c>
      <c r="J654">
        <v>1</v>
      </c>
      <c r="K654" t="s">
        <v>27</v>
      </c>
      <c r="L654">
        <f t="shared" si="50"/>
        <v>12</v>
      </c>
      <c r="M654" s="3">
        <f>Table1[[#This Row],[Quantity]]*Table1[[#This Row],[Negotiated_Price]]</f>
        <v>6443.28</v>
      </c>
      <c r="N654" s="3">
        <f>Table1[[#This Row],[Quantity]]*Table1[[#This Row],[Unit_Price]]</f>
        <v>7416</v>
      </c>
      <c r="O654" s="3">
        <f>Table1[[#This Row],[ Original_Spend ]]-Table1[[#This Row],[ Total_Spend ]]</f>
        <v>972.72000000000025</v>
      </c>
      <c r="P654" s="2">
        <f t="shared" si="51"/>
        <v>0.13116504854368935</v>
      </c>
      <c r="Q654" s="2">
        <f t="shared" si="52"/>
        <v>1.3888888888888888E-2</v>
      </c>
      <c r="R654" t="str">
        <f t="shared" si="53"/>
        <v>Partially Delivered</v>
      </c>
      <c r="S654" t="str">
        <f t="shared" si="54"/>
        <v>Status-Date Conflict</v>
      </c>
    </row>
    <row r="655" spans="1:19" x14ac:dyDescent="0.25">
      <c r="A655" t="s">
        <v>680</v>
      </c>
      <c r="B655" t="s">
        <v>20</v>
      </c>
      <c r="C655" s="1">
        <v>44905</v>
      </c>
      <c r="D655" s="1">
        <v>44915</v>
      </c>
      <c r="E655" t="s">
        <v>13</v>
      </c>
      <c r="F655" t="s">
        <v>18</v>
      </c>
      <c r="G655">
        <v>1835</v>
      </c>
      <c r="H655" s="3">
        <v>83.5</v>
      </c>
      <c r="I655" s="3">
        <v>82.36</v>
      </c>
      <c r="J655">
        <v>85</v>
      </c>
      <c r="K655" t="s">
        <v>27</v>
      </c>
      <c r="L655">
        <f t="shared" si="50"/>
        <v>10</v>
      </c>
      <c r="M655" s="3">
        <f>Table1[[#This Row],[Quantity]]*Table1[[#This Row],[Negotiated_Price]]</f>
        <v>151130.6</v>
      </c>
      <c r="N655" s="3">
        <f>Table1[[#This Row],[Quantity]]*Table1[[#This Row],[Unit_Price]]</f>
        <v>153222.5</v>
      </c>
      <c r="O655" s="3">
        <f>Table1[[#This Row],[ Original_Spend ]]-Table1[[#This Row],[ Total_Spend ]]</f>
        <v>2091.8999999999942</v>
      </c>
      <c r="P655" s="2">
        <f t="shared" si="51"/>
        <v>1.3652694610778405E-2</v>
      </c>
      <c r="Q655" s="2">
        <f t="shared" si="52"/>
        <v>4.632152588555858E-2</v>
      </c>
      <c r="R655" t="str">
        <f t="shared" si="53"/>
        <v>On Time</v>
      </c>
      <c r="S655" t="str">
        <f t="shared" si="54"/>
        <v>OK</v>
      </c>
    </row>
    <row r="656" spans="1:19" x14ac:dyDescent="0.25">
      <c r="A656" t="s">
        <v>681</v>
      </c>
      <c r="B656" t="s">
        <v>17</v>
      </c>
      <c r="C656" s="1">
        <v>44889</v>
      </c>
      <c r="D656" s="1">
        <v>44905</v>
      </c>
      <c r="E656" t="s">
        <v>39</v>
      </c>
      <c r="F656" t="s">
        <v>35</v>
      </c>
      <c r="G656">
        <v>571</v>
      </c>
      <c r="H656" s="3">
        <v>49.98</v>
      </c>
      <c r="I656" s="3">
        <v>45.58</v>
      </c>
      <c r="K656" t="s">
        <v>27</v>
      </c>
      <c r="L656">
        <f t="shared" si="50"/>
        <v>16</v>
      </c>
      <c r="M656" s="3">
        <f>Table1[[#This Row],[Quantity]]*Table1[[#This Row],[Negotiated_Price]]</f>
        <v>26026.18</v>
      </c>
      <c r="N656" s="3">
        <f>Table1[[#This Row],[Quantity]]*Table1[[#This Row],[Unit_Price]]</f>
        <v>28538.579999999998</v>
      </c>
      <c r="O656" s="3">
        <f>Table1[[#This Row],[ Original_Spend ]]-Table1[[#This Row],[ Total_Spend ]]</f>
        <v>2512.3999999999978</v>
      </c>
      <c r="P656" s="2">
        <f t="shared" si="51"/>
        <v>8.8035214085634181E-2</v>
      </c>
      <c r="Q656" s="2">
        <f t="shared" si="52"/>
        <v>0</v>
      </c>
      <c r="R656" t="str">
        <f t="shared" si="53"/>
        <v>Pending</v>
      </c>
      <c r="S656" t="str">
        <f t="shared" si="54"/>
        <v>Status-Date Conflict</v>
      </c>
    </row>
    <row r="657" spans="1:19" x14ac:dyDescent="0.25">
      <c r="A657" t="s">
        <v>682</v>
      </c>
      <c r="B657" t="s">
        <v>29</v>
      </c>
      <c r="C657" s="1">
        <v>45115</v>
      </c>
      <c r="D657" s="1">
        <v>45116</v>
      </c>
      <c r="E657" t="s">
        <v>24</v>
      </c>
      <c r="F657" t="s">
        <v>18</v>
      </c>
      <c r="G657">
        <v>1831</v>
      </c>
      <c r="H657" s="3">
        <v>52.24</v>
      </c>
      <c r="I657" s="3">
        <v>50.44</v>
      </c>
      <c r="J657">
        <v>60</v>
      </c>
      <c r="K657" t="s">
        <v>15</v>
      </c>
      <c r="L657">
        <f t="shared" si="50"/>
        <v>1</v>
      </c>
      <c r="M657" s="3">
        <f>Table1[[#This Row],[Quantity]]*Table1[[#This Row],[Negotiated_Price]]</f>
        <v>92355.64</v>
      </c>
      <c r="N657" s="3">
        <f>Table1[[#This Row],[Quantity]]*Table1[[#This Row],[Unit_Price]]</f>
        <v>95651.44</v>
      </c>
      <c r="O657" s="3">
        <f>Table1[[#This Row],[ Original_Spend ]]-Table1[[#This Row],[ Total_Spend ]]</f>
        <v>3295.8000000000029</v>
      </c>
      <c r="P657" s="2">
        <f t="shared" si="51"/>
        <v>3.4456355283307837E-2</v>
      </c>
      <c r="Q657" s="2">
        <f t="shared" si="52"/>
        <v>3.2768978700163848E-2</v>
      </c>
      <c r="R657" t="str">
        <f t="shared" si="53"/>
        <v>On Time</v>
      </c>
      <c r="S657" t="str">
        <f t="shared" si="54"/>
        <v>OK</v>
      </c>
    </row>
    <row r="658" spans="1:19" x14ac:dyDescent="0.25">
      <c r="A658" t="s">
        <v>683</v>
      </c>
      <c r="B658" t="s">
        <v>23</v>
      </c>
      <c r="C658" s="1">
        <v>44644</v>
      </c>
      <c r="D658" s="1">
        <v>44658</v>
      </c>
      <c r="E658" t="s">
        <v>13</v>
      </c>
      <c r="F658" t="s">
        <v>35</v>
      </c>
      <c r="G658">
        <v>1910</v>
      </c>
      <c r="H658" s="3">
        <v>77.150000000000006</v>
      </c>
      <c r="I658" s="3">
        <v>68.489999999999995</v>
      </c>
      <c r="J658">
        <v>170</v>
      </c>
      <c r="K658" t="s">
        <v>15</v>
      </c>
      <c r="L658">
        <f t="shared" si="50"/>
        <v>14</v>
      </c>
      <c r="M658" s="3">
        <f>Table1[[#This Row],[Quantity]]*Table1[[#This Row],[Negotiated_Price]]</f>
        <v>130815.9</v>
      </c>
      <c r="N658" s="3">
        <f>Table1[[#This Row],[Quantity]]*Table1[[#This Row],[Unit_Price]]</f>
        <v>147356.5</v>
      </c>
      <c r="O658" s="3">
        <f>Table1[[#This Row],[ Original_Spend ]]-Table1[[#This Row],[ Total_Spend ]]</f>
        <v>16540.600000000006</v>
      </c>
      <c r="P658" s="2">
        <f t="shared" si="51"/>
        <v>0.11224886584575507</v>
      </c>
      <c r="Q658" s="2">
        <f t="shared" si="52"/>
        <v>8.9005235602094238E-2</v>
      </c>
      <c r="R658" t="str">
        <f t="shared" si="53"/>
        <v>Pending</v>
      </c>
      <c r="S658" t="str">
        <f t="shared" si="54"/>
        <v>Status-Date Conflict</v>
      </c>
    </row>
    <row r="659" spans="1:19" x14ac:dyDescent="0.25">
      <c r="A659" t="s">
        <v>684</v>
      </c>
      <c r="B659" t="s">
        <v>20</v>
      </c>
      <c r="C659" s="1">
        <v>44703</v>
      </c>
      <c r="D659" s="1">
        <v>44712</v>
      </c>
      <c r="E659" t="s">
        <v>39</v>
      </c>
      <c r="F659" t="s">
        <v>33</v>
      </c>
      <c r="G659">
        <v>1173</v>
      </c>
      <c r="H659" s="3">
        <v>32.119999999999997</v>
      </c>
      <c r="I659" s="3">
        <v>29.18</v>
      </c>
      <c r="K659" t="s">
        <v>15</v>
      </c>
      <c r="L659">
        <f t="shared" si="50"/>
        <v>9</v>
      </c>
      <c r="M659" s="3">
        <f>Table1[[#This Row],[Quantity]]*Table1[[#This Row],[Negotiated_Price]]</f>
        <v>34228.14</v>
      </c>
      <c r="N659" s="3">
        <f>Table1[[#This Row],[Quantity]]*Table1[[#This Row],[Unit_Price]]</f>
        <v>37676.759999999995</v>
      </c>
      <c r="O659" s="3">
        <f>Table1[[#This Row],[ Original_Spend ]]-Table1[[#This Row],[ Total_Spend ]]</f>
        <v>3448.6199999999953</v>
      </c>
      <c r="P659" s="2">
        <f t="shared" si="51"/>
        <v>9.1531755915317453E-2</v>
      </c>
      <c r="Q659" s="2">
        <f t="shared" si="52"/>
        <v>0</v>
      </c>
      <c r="R659" t="str">
        <f t="shared" si="53"/>
        <v>Partially Delivered</v>
      </c>
      <c r="S659" t="str">
        <f t="shared" si="54"/>
        <v>Status-Date Conflict</v>
      </c>
    </row>
    <row r="660" spans="1:19" x14ac:dyDescent="0.25">
      <c r="A660" t="s">
        <v>685</v>
      </c>
      <c r="B660" t="s">
        <v>29</v>
      </c>
      <c r="C660" s="1">
        <v>44716</v>
      </c>
      <c r="D660" s="1">
        <v>44729</v>
      </c>
      <c r="E660" t="s">
        <v>24</v>
      </c>
      <c r="F660" t="s">
        <v>33</v>
      </c>
      <c r="G660">
        <v>851</v>
      </c>
      <c r="H660" s="3">
        <v>20.440000000000001</v>
      </c>
      <c r="I660" s="3">
        <v>19.22</v>
      </c>
      <c r="J660">
        <v>22</v>
      </c>
      <c r="K660" t="s">
        <v>15</v>
      </c>
      <c r="L660">
        <f t="shared" si="50"/>
        <v>13</v>
      </c>
      <c r="M660" s="3">
        <f>Table1[[#This Row],[Quantity]]*Table1[[#This Row],[Negotiated_Price]]</f>
        <v>16356.22</v>
      </c>
      <c r="N660" s="3">
        <f>Table1[[#This Row],[Quantity]]*Table1[[#This Row],[Unit_Price]]</f>
        <v>17394.440000000002</v>
      </c>
      <c r="O660" s="3">
        <f>Table1[[#This Row],[ Original_Spend ]]-Table1[[#This Row],[ Total_Spend ]]</f>
        <v>1038.220000000003</v>
      </c>
      <c r="P660" s="2">
        <f t="shared" si="51"/>
        <v>5.9686888454011905E-2</v>
      </c>
      <c r="Q660" s="2">
        <f t="shared" si="52"/>
        <v>2.5851938895417155E-2</v>
      </c>
      <c r="R660" t="str">
        <f t="shared" si="53"/>
        <v>Partially Delivered</v>
      </c>
      <c r="S660" t="str">
        <f t="shared" si="54"/>
        <v>Status-Date Conflict</v>
      </c>
    </row>
    <row r="661" spans="1:19" x14ac:dyDescent="0.25">
      <c r="A661" t="s">
        <v>686</v>
      </c>
      <c r="B661" t="s">
        <v>29</v>
      </c>
      <c r="C661" s="1">
        <v>44798</v>
      </c>
      <c r="D661" s="1">
        <v>44811</v>
      </c>
      <c r="E661" t="s">
        <v>21</v>
      </c>
      <c r="F661" t="s">
        <v>14</v>
      </c>
      <c r="G661">
        <v>1253</v>
      </c>
      <c r="H661" s="3">
        <v>43.38</v>
      </c>
      <c r="I661" s="3">
        <v>38.01</v>
      </c>
      <c r="J661">
        <v>34</v>
      </c>
      <c r="K661" t="s">
        <v>15</v>
      </c>
      <c r="L661">
        <f t="shared" si="50"/>
        <v>13</v>
      </c>
      <c r="M661" s="3">
        <f>Table1[[#This Row],[Quantity]]*Table1[[#This Row],[Negotiated_Price]]</f>
        <v>47626.53</v>
      </c>
      <c r="N661" s="3">
        <f>Table1[[#This Row],[Quantity]]*Table1[[#This Row],[Unit_Price]]</f>
        <v>54355.140000000007</v>
      </c>
      <c r="O661" s="3">
        <f>Table1[[#This Row],[ Original_Spend ]]-Table1[[#This Row],[ Total_Spend ]]</f>
        <v>6728.6100000000079</v>
      </c>
      <c r="P661" s="2">
        <f t="shared" si="51"/>
        <v>0.12378976486860317</v>
      </c>
      <c r="Q661" s="2">
        <f t="shared" si="52"/>
        <v>2.7134876296887472E-2</v>
      </c>
      <c r="R661" t="str">
        <f t="shared" si="53"/>
        <v>Cancelled</v>
      </c>
      <c r="S661" t="str">
        <f t="shared" si="54"/>
        <v>Status-Date Conflict</v>
      </c>
    </row>
    <row r="662" spans="1:19" x14ac:dyDescent="0.25">
      <c r="A662" t="s">
        <v>687</v>
      </c>
      <c r="B662" t="s">
        <v>12</v>
      </c>
      <c r="C662" s="1">
        <v>44954</v>
      </c>
      <c r="D662" s="1">
        <v>44972</v>
      </c>
      <c r="E662" t="s">
        <v>39</v>
      </c>
      <c r="F662" t="s">
        <v>18</v>
      </c>
      <c r="G662">
        <v>1296</v>
      </c>
      <c r="H662" s="3">
        <v>38</v>
      </c>
      <c r="I662" s="3">
        <v>33.42</v>
      </c>
      <c r="J662">
        <v>33</v>
      </c>
      <c r="K662" t="s">
        <v>15</v>
      </c>
      <c r="L662">
        <f t="shared" si="50"/>
        <v>18</v>
      </c>
      <c r="M662" s="3">
        <f>Table1[[#This Row],[Quantity]]*Table1[[#This Row],[Negotiated_Price]]</f>
        <v>43312.32</v>
      </c>
      <c r="N662" s="3">
        <f>Table1[[#This Row],[Quantity]]*Table1[[#This Row],[Unit_Price]]</f>
        <v>49248</v>
      </c>
      <c r="O662" s="3">
        <f>Table1[[#This Row],[ Original_Spend ]]-Table1[[#This Row],[ Total_Spend ]]</f>
        <v>5935.68</v>
      </c>
      <c r="P662" s="2">
        <f t="shared" si="51"/>
        <v>0.12052631578947369</v>
      </c>
      <c r="Q662" s="2">
        <f t="shared" si="52"/>
        <v>2.5462962962962962E-2</v>
      </c>
      <c r="R662" t="str">
        <f t="shared" si="53"/>
        <v>Late</v>
      </c>
      <c r="S662" t="str">
        <f t="shared" si="54"/>
        <v>OK</v>
      </c>
    </row>
    <row r="663" spans="1:19" x14ac:dyDescent="0.25">
      <c r="A663" t="s">
        <v>688</v>
      </c>
      <c r="B663" t="s">
        <v>23</v>
      </c>
      <c r="C663" s="1">
        <v>45272</v>
      </c>
      <c r="D663" s="1">
        <v>45290</v>
      </c>
      <c r="E663" t="s">
        <v>26</v>
      </c>
      <c r="F663" t="s">
        <v>18</v>
      </c>
      <c r="G663">
        <v>1979</v>
      </c>
      <c r="H663" s="3">
        <v>40.880000000000003</v>
      </c>
      <c r="I663" s="3">
        <v>39.46</v>
      </c>
      <c r="J663">
        <v>221</v>
      </c>
      <c r="K663" t="s">
        <v>15</v>
      </c>
      <c r="L663">
        <f t="shared" si="50"/>
        <v>18</v>
      </c>
      <c r="M663" s="3">
        <f>Table1[[#This Row],[Quantity]]*Table1[[#This Row],[Negotiated_Price]]</f>
        <v>78091.34</v>
      </c>
      <c r="N663" s="3">
        <f>Table1[[#This Row],[Quantity]]*Table1[[#This Row],[Unit_Price]]</f>
        <v>80901.52</v>
      </c>
      <c r="O663" s="3">
        <f>Table1[[#This Row],[ Original_Spend ]]-Table1[[#This Row],[ Total_Spend ]]</f>
        <v>2810.1800000000076</v>
      </c>
      <c r="P663" s="2">
        <f t="shared" si="51"/>
        <v>3.4735812133072502E-2</v>
      </c>
      <c r="Q663" s="2">
        <f t="shared" si="52"/>
        <v>0.11167256189994947</v>
      </c>
      <c r="R663" t="str">
        <f t="shared" si="53"/>
        <v>Late</v>
      </c>
      <c r="S663" t="str">
        <f t="shared" si="54"/>
        <v>OK</v>
      </c>
    </row>
    <row r="664" spans="1:19" x14ac:dyDescent="0.25">
      <c r="A664" t="s">
        <v>689</v>
      </c>
      <c r="B664" t="s">
        <v>20</v>
      </c>
      <c r="C664" s="1">
        <v>44718</v>
      </c>
      <c r="D664" s="1">
        <v>44731</v>
      </c>
      <c r="E664" t="s">
        <v>13</v>
      </c>
      <c r="F664" t="s">
        <v>18</v>
      </c>
      <c r="G664">
        <v>811</v>
      </c>
      <c r="H664" s="3">
        <v>31.8</v>
      </c>
      <c r="I664" s="3">
        <v>30.33</v>
      </c>
      <c r="J664">
        <v>58</v>
      </c>
      <c r="K664" t="s">
        <v>15</v>
      </c>
      <c r="L664">
        <f t="shared" si="50"/>
        <v>13</v>
      </c>
      <c r="M664" s="3">
        <f>Table1[[#This Row],[Quantity]]*Table1[[#This Row],[Negotiated_Price]]</f>
        <v>24597.629999999997</v>
      </c>
      <c r="N664" s="3">
        <f>Table1[[#This Row],[Quantity]]*Table1[[#This Row],[Unit_Price]]</f>
        <v>25789.8</v>
      </c>
      <c r="O664" s="3">
        <f>Table1[[#This Row],[ Original_Spend ]]-Table1[[#This Row],[ Total_Spend ]]</f>
        <v>1192.1700000000019</v>
      </c>
      <c r="P664" s="2">
        <f t="shared" si="51"/>
        <v>4.6226415094339696E-2</v>
      </c>
      <c r="Q664" s="2">
        <f t="shared" si="52"/>
        <v>7.1516646115906288E-2</v>
      </c>
      <c r="R664" t="str">
        <f t="shared" si="53"/>
        <v>Late</v>
      </c>
      <c r="S664" t="str">
        <f t="shared" si="54"/>
        <v>OK</v>
      </c>
    </row>
    <row r="665" spans="1:19" x14ac:dyDescent="0.25">
      <c r="A665" t="s">
        <v>690</v>
      </c>
      <c r="B665" t="s">
        <v>12</v>
      </c>
      <c r="C665" s="1">
        <v>45285</v>
      </c>
      <c r="D665" s="1">
        <v>45303</v>
      </c>
      <c r="E665" t="s">
        <v>39</v>
      </c>
      <c r="F665" t="s">
        <v>18</v>
      </c>
      <c r="G665">
        <v>1732</v>
      </c>
      <c r="H665" s="3">
        <v>15.37</v>
      </c>
      <c r="I665" s="3">
        <v>14.7</v>
      </c>
      <c r="J665">
        <v>38</v>
      </c>
      <c r="K665" t="s">
        <v>15</v>
      </c>
      <c r="L665">
        <f t="shared" si="50"/>
        <v>18</v>
      </c>
      <c r="M665" s="3">
        <f>Table1[[#This Row],[Quantity]]*Table1[[#This Row],[Negotiated_Price]]</f>
        <v>25460.399999999998</v>
      </c>
      <c r="N665" s="3">
        <f>Table1[[#This Row],[Quantity]]*Table1[[#This Row],[Unit_Price]]</f>
        <v>26620.84</v>
      </c>
      <c r="O665" s="3">
        <f>Table1[[#This Row],[ Original_Spend ]]-Table1[[#This Row],[ Total_Spend ]]</f>
        <v>1160.4400000000023</v>
      </c>
      <c r="P665" s="2">
        <f t="shared" si="51"/>
        <v>4.3591411841249275E-2</v>
      </c>
      <c r="Q665" s="2">
        <f t="shared" si="52"/>
        <v>2.1939953810623556E-2</v>
      </c>
      <c r="R665" t="str">
        <f t="shared" si="53"/>
        <v>Late</v>
      </c>
      <c r="S665" t="str">
        <f t="shared" si="54"/>
        <v>OK</v>
      </c>
    </row>
    <row r="666" spans="1:19" x14ac:dyDescent="0.25">
      <c r="A666" t="s">
        <v>691</v>
      </c>
      <c r="B666" t="s">
        <v>23</v>
      </c>
      <c r="C666" s="1">
        <v>44781</v>
      </c>
      <c r="D666" s="1">
        <v>44801</v>
      </c>
      <c r="E666" t="s">
        <v>24</v>
      </c>
      <c r="F666" t="s">
        <v>18</v>
      </c>
      <c r="G666">
        <v>491</v>
      </c>
      <c r="H666" s="3">
        <v>12.01</v>
      </c>
      <c r="I666" s="3">
        <v>11.67</v>
      </c>
      <c r="J666">
        <v>47</v>
      </c>
      <c r="K666" t="s">
        <v>15</v>
      </c>
      <c r="L666">
        <f t="shared" si="50"/>
        <v>20</v>
      </c>
      <c r="M666" s="3">
        <f>Table1[[#This Row],[Quantity]]*Table1[[#This Row],[Negotiated_Price]]</f>
        <v>5729.97</v>
      </c>
      <c r="N666" s="3">
        <f>Table1[[#This Row],[Quantity]]*Table1[[#This Row],[Unit_Price]]</f>
        <v>5896.91</v>
      </c>
      <c r="O666" s="3">
        <f>Table1[[#This Row],[ Original_Spend ]]-Table1[[#This Row],[ Total_Spend ]]</f>
        <v>166.9399999999996</v>
      </c>
      <c r="P666" s="2">
        <f t="shared" si="51"/>
        <v>2.8309741881765129E-2</v>
      </c>
      <c r="Q666" s="2">
        <f t="shared" si="52"/>
        <v>9.5723014256619138E-2</v>
      </c>
      <c r="R666" t="str">
        <f t="shared" si="53"/>
        <v>Late</v>
      </c>
      <c r="S666" t="str">
        <f t="shared" si="54"/>
        <v>OK</v>
      </c>
    </row>
    <row r="667" spans="1:19" x14ac:dyDescent="0.25">
      <c r="A667" t="s">
        <v>692</v>
      </c>
      <c r="B667" t="s">
        <v>20</v>
      </c>
      <c r="C667" s="1">
        <v>44627</v>
      </c>
      <c r="D667" s="1">
        <v>44631</v>
      </c>
      <c r="E667" t="s">
        <v>24</v>
      </c>
      <c r="F667" t="s">
        <v>14</v>
      </c>
      <c r="G667">
        <v>1681</v>
      </c>
      <c r="H667" s="3">
        <v>99.88</v>
      </c>
      <c r="I667" s="3">
        <v>96.38</v>
      </c>
      <c r="J667">
        <v>90</v>
      </c>
      <c r="K667" t="s">
        <v>15</v>
      </c>
      <c r="L667">
        <f t="shared" si="50"/>
        <v>4</v>
      </c>
      <c r="M667" s="3">
        <f>Table1[[#This Row],[Quantity]]*Table1[[#This Row],[Negotiated_Price]]</f>
        <v>162014.78</v>
      </c>
      <c r="N667" s="3">
        <f>Table1[[#This Row],[Quantity]]*Table1[[#This Row],[Unit_Price]]</f>
        <v>167898.28</v>
      </c>
      <c r="O667" s="3">
        <f>Table1[[#This Row],[ Original_Spend ]]-Table1[[#This Row],[ Total_Spend ]]</f>
        <v>5883.5</v>
      </c>
      <c r="P667" s="2">
        <f t="shared" si="51"/>
        <v>3.5042050460552664E-2</v>
      </c>
      <c r="Q667" s="2">
        <f t="shared" si="52"/>
        <v>5.353955978584176E-2</v>
      </c>
      <c r="R667" t="str">
        <f t="shared" si="53"/>
        <v>Cancelled</v>
      </c>
      <c r="S667" t="str">
        <f t="shared" si="54"/>
        <v>Status-Date Conflict</v>
      </c>
    </row>
    <row r="668" spans="1:19" x14ac:dyDescent="0.25">
      <c r="A668" t="s">
        <v>693</v>
      </c>
      <c r="B668" t="s">
        <v>12</v>
      </c>
      <c r="C668" s="1">
        <v>44986</v>
      </c>
      <c r="D668" s="1">
        <v>44990</v>
      </c>
      <c r="E668" t="s">
        <v>26</v>
      </c>
      <c r="F668" t="s">
        <v>33</v>
      </c>
      <c r="G668">
        <v>818</v>
      </c>
      <c r="H668" s="3">
        <v>51.89</v>
      </c>
      <c r="I668" s="3">
        <v>47.85</v>
      </c>
      <c r="J668">
        <v>12</v>
      </c>
      <c r="K668" t="s">
        <v>15</v>
      </c>
      <c r="L668">
        <f t="shared" si="50"/>
        <v>4</v>
      </c>
      <c r="M668" s="3">
        <f>Table1[[#This Row],[Quantity]]*Table1[[#This Row],[Negotiated_Price]]</f>
        <v>39141.300000000003</v>
      </c>
      <c r="N668" s="3">
        <f>Table1[[#This Row],[Quantity]]*Table1[[#This Row],[Unit_Price]]</f>
        <v>42446.020000000004</v>
      </c>
      <c r="O668" s="3">
        <f>Table1[[#This Row],[ Original_Spend ]]-Table1[[#This Row],[ Total_Spend ]]</f>
        <v>3304.7200000000012</v>
      </c>
      <c r="P668" s="2">
        <f t="shared" si="51"/>
        <v>7.7857005203314719E-2</v>
      </c>
      <c r="Q668" s="2">
        <f t="shared" si="52"/>
        <v>1.4669926650366748E-2</v>
      </c>
      <c r="R668" t="str">
        <f t="shared" si="53"/>
        <v>Partially Delivered</v>
      </c>
      <c r="S668" t="str">
        <f t="shared" si="54"/>
        <v>Status-Date Conflict</v>
      </c>
    </row>
    <row r="669" spans="1:19" x14ac:dyDescent="0.25">
      <c r="A669" t="s">
        <v>694</v>
      </c>
      <c r="B669" t="s">
        <v>23</v>
      </c>
      <c r="C669" s="1">
        <v>44979</v>
      </c>
      <c r="D669" s="1">
        <v>44990</v>
      </c>
      <c r="E669" t="s">
        <v>13</v>
      </c>
      <c r="F669" t="s">
        <v>18</v>
      </c>
      <c r="G669">
        <v>1065</v>
      </c>
      <c r="H669" s="3">
        <v>47.49</v>
      </c>
      <c r="I669" s="3">
        <v>41.42</v>
      </c>
      <c r="J669">
        <v>113</v>
      </c>
      <c r="K669" t="s">
        <v>15</v>
      </c>
      <c r="L669">
        <f t="shared" si="50"/>
        <v>11</v>
      </c>
      <c r="M669" s="3">
        <f>Table1[[#This Row],[Quantity]]*Table1[[#This Row],[Negotiated_Price]]</f>
        <v>44112.3</v>
      </c>
      <c r="N669" s="3">
        <f>Table1[[#This Row],[Quantity]]*Table1[[#This Row],[Unit_Price]]</f>
        <v>50576.85</v>
      </c>
      <c r="O669" s="3">
        <f>Table1[[#This Row],[ Original_Spend ]]-Table1[[#This Row],[ Total_Spend ]]</f>
        <v>6464.5499999999956</v>
      </c>
      <c r="P669" s="2">
        <f t="shared" si="51"/>
        <v>0.12781638239629386</v>
      </c>
      <c r="Q669" s="2">
        <f t="shared" si="52"/>
        <v>0.10610328638497653</v>
      </c>
      <c r="R669" t="str">
        <f t="shared" si="53"/>
        <v>Late</v>
      </c>
      <c r="S669" t="str">
        <f t="shared" si="54"/>
        <v>OK</v>
      </c>
    </row>
    <row r="670" spans="1:19" x14ac:dyDescent="0.25">
      <c r="A670" t="s">
        <v>695</v>
      </c>
      <c r="B670" t="s">
        <v>20</v>
      </c>
      <c r="C670" s="1">
        <v>44900</v>
      </c>
      <c r="D670" s="1">
        <v>44912</v>
      </c>
      <c r="E670" t="s">
        <v>24</v>
      </c>
      <c r="F670" t="s">
        <v>18</v>
      </c>
      <c r="G670">
        <v>1398</v>
      </c>
      <c r="H670" s="3">
        <v>75.08</v>
      </c>
      <c r="I670" s="3">
        <v>67.09</v>
      </c>
      <c r="J670">
        <v>57</v>
      </c>
      <c r="K670" t="s">
        <v>15</v>
      </c>
      <c r="L670">
        <f t="shared" si="50"/>
        <v>12</v>
      </c>
      <c r="M670" s="3">
        <f>Table1[[#This Row],[Quantity]]*Table1[[#This Row],[Negotiated_Price]]</f>
        <v>93791.82</v>
      </c>
      <c r="N670" s="3">
        <f>Table1[[#This Row],[Quantity]]*Table1[[#This Row],[Unit_Price]]</f>
        <v>104961.84</v>
      </c>
      <c r="O670" s="3">
        <f>Table1[[#This Row],[ Original_Spend ]]-Table1[[#This Row],[ Total_Spend ]]</f>
        <v>11170.01999999999</v>
      </c>
      <c r="P670" s="2">
        <f t="shared" si="51"/>
        <v>0.10641981885988269</v>
      </c>
      <c r="Q670" s="2">
        <f t="shared" si="52"/>
        <v>4.07725321888412E-2</v>
      </c>
      <c r="R670" t="str">
        <f t="shared" si="53"/>
        <v>Late</v>
      </c>
      <c r="S670" t="str">
        <f t="shared" si="54"/>
        <v>OK</v>
      </c>
    </row>
    <row r="671" spans="1:19" x14ac:dyDescent="0.25">
      <c r="A671" t="s">
        <v>696</v>
      </c>
      <c r="B671" t="s">
        <v>23</v>
      </c>
      <c r="C671" s="1">
        <v>45117</v>
      </c>
      <c r="D671" s="1">
        <v>45124</v>
      </c>
      <c r="E671" t="s">
        <v>24</v>
      </c>
      <c r="F671" t="s">
        <v>18</v>
      </c>
      <c r="G671">
        <v>565</v>
      </c>
      <c r="H671" s="3">
        <v>32.31</v>
      </c>
      <c r="I671" s="3">
        <v>29.76</v>
      </c>
      <c r="J671">
        <v>60</v>
      </c>
      <c r="K671" t="s">
        <v>15</v>
      </c>
      <c r="L671">
        <f t="shared" si="50"/>
        <v>7</v>
      </c>
      <c r="M671" s="3">
        <f>Table1[[#This Row],[Quantity]]*Table1[[#This Row],[Negotiated_Price]]</f>
        <v>16814.400000000001</v>
      </c>
      <c r="N671" s="3">
        <f>Table1[[#This Row],[Quantity]]*Table1[[#This Row],[Unit_Price]]</f>
        <v>18255.150000000001</v>
      </c>
      <c r="O671" s="3">
        <f>Table1[[#This Row],[ Original_Spend ]]-Table1[[#This Row],[ Total_Spend ]]</f>
        <v>1440.75</v>
      </c>
      <c r="P671" s="2">
        <f t="shared" si="51"/>
        <v>7.8922934076137416E-2</v>
      </c>
      <c r="Q671" s="2">
        <f t="shared" si="52"/>
        <v>0.10619469026548672</v>
      </c>
      <c r="R671" t="str">
        <f t="shared" si="53"/>
        <v>On Time</v>
      </c>
      <c r="S671" t="str">
        <f t="shared" si="54"/>
        <v>OK</v>
      </c>
    </row>
    <row r="672" spans="1:19" x14ac:dyDescent="0.25">
      <c r="A672" t="s">
        <v>697</v>
      </c>
      <c r="B672" t="s">
        <v>29</v>
      </c>
      <c r="C672" s="1">
        <v>45039</v>
      </c>
      <c r="D672" s="1">
        <v>45052</v>
      </c>
      <c r="E672" t="s">
        <v>24</v>
      </c>
      <c r="F672" t="s">
        <v>35</v>
      </c>
      <c r="G672">
        <v>1089</v>
      </c>
      <c r="H672" s="3">
        <v>102.66</v>
      </c>
      <c r="I672" s="3">
        <v>89.21</v>
      </c>
      <c r="J672">
        <v>33</v>
      </c>
      <c r="K672" t="s">
        <v>15</v>
      </c>
      <c r="L672">
        <f t="shared" si="50"/>
        <v>13</v>
      </c>
      <c r="M672" s="3">
        <f>Table1[[#This Row],[Quantity]]*Table1[[#This Row],[Negotiated_Price]]</f>
        <v>97149.689999999988</v>
      </c>
      <c r="N672" s="3">
        <f>Table1[[#This Row],[Quantity]]*Table1[[#This Row],[Unit_Price]]</f>
        <v>111796.73999999999</v>
      </c>
      <c r="O672" s="3">
        <f>Table1[[#This Row],[ Original_Spend ]]-Table1[[#This Row],[ Total_Spend ]]</f>
        <v>14647.050000000003</v>
      </c>
      <c r="P672" s="2">
        <f t="shared" si="51"/>
        <v>0.13101500097408927</v>
      </c>
      <c r="Q672" s="2">
        <f t="shared" si="52"/>
        <v>3.0303030303030304E-2</v>
      </c>
      <c r="R672" t="str">
        <f t="shared" si="53"/>
        <v>Pending</v>
      </c>
      <c r="S672" t="str">
        <f t="shared" si="54"/>
        <v>Status-Date Conflict</v>
      </c>
    </row>
    <row r="673" spans="1:19" x14ac:dyDescent="0.25">
      <c r="A673" t="s">
        <v>698</v>
      </c>
      <c r="B673" t="s">
        <v>17</v>
      </c>
      <c r="C673" s="1">
        <v>44987</v>
      </c>
      <c r="D673" s="1">
        <v>44989</v>
      </c>
      <c r="E673" t="s">
        <v>39</v>
      </c>
      <c r="F673" t="s">
        <v>18</v>
      </c>
      <c r="G673">
        <v>841</v>
      </c>
      <c r="H673" s="3">
        <v>86.43</v>
      </c>
      <c r="I673" s="3">
        <v>83.77</v>
      </c>
      <c r="J673">
        <v>125</v>
      </c>
      <c r="K673" t="s">
        <v>27</v>
      </c>
      <c r="L673">
        <f t="shared" si="50"/>
        <v>2</v>
      </c>
      <c r="M673" s="3">
        <f>Table1[[#This Row],[Quantity]]*Table1[[#This Row],[Negotiated_Price]]</f>
        <v>70450.569999999992</v>
      </c>
      <c r="N673" s="3">
        <f>Table1[[#This Row],[Quantity]]*Table1[[#This Row],[Unit_Price]]</f>
        <v>72687.63</v>
      </c>
      <c r="O673" s="3">
        <f>Table1[[#This Row],[ Original_Spend ]]-Table1[[#This Row],[ Total_Spend ]]</f>
        <v>2237.0600000000122</v>
      </c>
      <c r="P673" s="2">
        <f t="shared" si="51"/>
        <v>3.0776350804119106E-2</v>
      </c>
      <c r="Q673" s="2">
        <f t="shared" si="52"/>
        <v>0.14863258026159334</v>
      </c>
      <c r="R673" t="str">
        <f t="shared" si="53"/>
        <v>On Time</v>
      </c>
      <c r="S673" t="str">
        <f t="shared" si="54"/>
        <v>OK</v>
      </c>
    </row>
    <row r="674" spans="1:19" x14ac:dyDescent="0.25">
      <c r="A674" t="s">
        <v>699</v>
      </c>
      <c r="B674" t="s">
        <v>17</v>
      </c>
      <c r="C674" s="1">
        <v>44625</v>
      </c>
      <c r="D674" s="1">
        <v>44636</v>
      </c>
      <c r="E674" t="s">
        <v>39</v>
      </c>
      <c r="F674" t="s">
        <v>18</v>
      </c>
      <c r="G674">
        <v>385</v>
      </c>
      <c r="H674" s="3">
        <v>18.23</v>
      </c>
      <c r="I674" s="3">
        <v>17.739999999999998</v>
      </c>
      <c r="K674" t="s">
        <v>15</v>
      </c>
      <c r="L674">
        <f t="shared" si="50"/>
        <v>11</v>
      </c>
      <c r="M674" s="3">
        <f>Table1[[#This Row],[Quantity]]*Table1[[#This Row],[Negotiated_Price]]</f>
        <v>6829.9</v>
      </c>
      <c r="N674" s="3">
        <f>Table1[[#This Row],[Quantity]]*Table1[[#This Row],[Unit_Price]]</f>
        <v>7018.55</v>
      </c>
      <c r="O674" s="3">
        <f>Table1[[#This Row],[ Original_Spend ]]-Table1[[#This Row],[ Total_Spend ]]</f>
        <v>188.65000000000055</v>
      </c>
      <c r="P674" s="2">
        <f t="shared" si="51"/>
        <v>2.6878771256171222E-2</v>
      </c>
      <c r="Q674" s="2">
        <f t="shared" si="52"/>
        <v>0</v>
      </c>
      <c r="R674" t="str">
        <f t="shared" si="53"/>
        <v>Late</v>
      </c>
      <c r="S674" t="str">
        <f t="shared" si="54"/>
        <v>OK</v>
      </c>
    </row>
    <row r="675" spans="1:19" x14ac:dyDescent="0.25">
      <c r="A675" t="s">
        <v>700</v>
      </c>
      <c r="B675" t="s">
        <v>29</v>
      </c>
      <c r="C675" s="1">
        <v>44773</v>
      </c>
      <c r="D675" s="1">
        <v>44790</v>
      </c>
      <c r="E675" t="s">
        <v>13</v>
      </c>
      <c r="F675" t="s">
        <v>18</v>
      </c>
      <c r="G675">
        <v>1832</v>
      </c>
      <c r="H675" s="3">
        <v>49.01</v>
      </c>
      <c r="I675" s="3">
        <v>41.86</v>
      </c>
      <c r="J675">
        <v>52</v>
      </c>
      <c r="K675" t="s">
        <v>15</v>
      </c>
      <c r="L675">
        <f t="shared" si="50"/>
        <v>17</v>
      </c>
      <c r="M675" s="3">
        <f>Table1[[#This Row],[Quantity]]*Table1[[#This Row],[Negotiated_Price]]</f>
        <v>76687.520000000004</v>
      </c>
      <c r="N675" s="3">
        <f>Table1[[#This Row],[Quantity]]*Table1[[#This Row],[Unit_Price]]</f>
        <v>89786.319999999992</v>
      </c>
      <c r="O675" s="3">
        <f>Table1[[#This Row],[ Original_Spend ]]-Table1[[#This Row],[ Total_Spend ]]</f>
        <v>13098.799999999988</v>
      </c>
      <c r="P675" s="2">
        <f t="shared" si="51"/>
        <v>0.14588859416445613</v>
      </c>
      <c r="Q675" s="2">
        <f t="shared" si="52"/>
        <v>2.8384279475982533E-2</v>
      </c>
      <c r="R675" t="str">
        <f t="shared" si="53"/>
        <v>Late</v>
      </c>
      <c r="S675" t="str">
        <f t="shared" si="54"/>
        <v>OK</v>
      </c>
    </row>
    <row r="676" spans="1:19" x14ac:dyDescent="0.25">
      <c r="A676" t="s">
        <v>701</v>
      </c>
      <c r="B676" t="s">
        <v>23</v>
      </c>
      <c r="C676" s="1">
        <v>44992</v>
      </c>
      <c r="D676" s="1">
        <v>45012</v>
      </c>
      <c r="E676" t="s">
        <v>26</v>
      </c>
      <c r="F676" t="s">
        <v>18</v>
      </c>
      <c r="G676">
        <v>307</v>
      </c>
      <c r="H676" s="3">
        <v>95.36</v>
      </c>
      <c r="I676" s="3">
        <v>83.63</v>
      </c>
      <c r="J676">
        <v>29</v>
      </c>
      <c r="K676" t="s">
        <v>15</v>
      </c>
      <c r="L676">
        <f t="shared" si="50"/>
        <v>20</v>
      </c>
      <c r="M676" s="3">
        <f>Table1[[#This Row],[Quantity]]*Table1[[#This Row],[Negotiated_Price]]</f>
        <v>25674.41</v>
      </c>
      <c r="N676" s="3">
        <f>Table1[[#This Row],[Quantity]]*Table1[[#This Row],[Unit_Price]]</f>
        <v>29275.52</v>
      </c>
      <c r="O676" s="3">
        <f>Table1[[#This Row],[ Original_Spend ]]-Table1[[#This Row],[ Total_Spend ]]</f>
        <v>3601.1100000000006</v>
      </c>
      <c r="P676" s="2">
        <f t="shared" si="51"/>
        <v>0.12300755033557048</v>
      </c>
      <c r="Q676" s="2">
        <f t="shared" si="52"/>
        <v>9.4462540716612378E-2</v>
      </c>
      <c r="R676" t="str">
        <f t="shared" si="53"/>
        <v>Late</v>
      </c>
      <c r="S676" t="str">
        <f t="shared" si="54"/>
        <v>OK</v>
      </c>
    </row>
    <row r="677" spans="1:19" x14ac:dyDescent="0.25">
      <c r="A677" t="s">
        <v>702</v>
      </c>
      <c r="B677" t="s">
        <v>29</v>
      </c>
      <c r="C677" s="1">
        <v>44960</v>
      </c>
      <c r="D677" s="1">
        <v>44965</v>
      </c>
      <c r="E677" t="s">
        <v>13</v>
      </c>
      <c r="F677" t="s">
        <v>18</v>
      </c>
      <c r="G677">
        <v>546</v>
      </c>
      <c r="H677" s="3">
        <v>101.2</v>
      </c>
      <c r="I677" s="3">
        <v>97.82</v>
      </c>
      <c r="J677">
        <v>21</v>
      </c>
      <c r="K677" t="s">
        <v>15</v>
      </c>
      <c r="L677">
        <f t="shared" si="50"/>
        <v>5</v>
      </c>
      <c r="M677" s="3">
        <f>Table1[[#This Row],[Quantity]]*Table1[[#This Row],[Negotiated_Price]]</f>
        <v>53409.719999999994</v>
      </c>
      <c r="N677" s="3">
        <f>Table1[[#This Row],[Quantity]]*Table1[[#This Row],[Unit_Price]]</f>
        <v>55255.200000000004</v>
      </c>
      <c r="O677" s="3">
        <f>Table1[[#This Row],[ Original_Spend ]]-Table1[[#This Row],[ Total_Spend ]]</f>
        <v>1845.4800000000105</v>
      </c>
      <c r="P677" s="2">
        <f t="shared" si="51"/>
        <v>3.3399209486166197E-2</v>
      </c>
      <c r="Q677" s="2">
        <f t="shared" si="52"/>
        <v>3.8461538461538464E-2</v>
      </c>
      <c r="R677" t="str">
        <f t="shared" si="53"/>
        <v>On Time</v>
      </c>
      <c r="S677" t="str">
        <f t="shared" si="54"/>
        <v>OK</v>
      </c>
    </row>
    <row r="678" spans="1:19" x14ac:dyDescent="0.25">
      <c r="A678" t="s">
        <v>703</v>
      </c>
      <c r="B678" t="s">
        <v>17</v>
      </c>
      <c r="C678" s="1">
        <v>45160</v>
      </c>
      <c r="D678" s="1">
        <v>45180</v>
      </c>
      <c r="E678" t="s">
        <v>26</v>
      </c>
      <c r="F678" t="s">
        <v>18</v>
      </c>
      <c r="G678">
        <v>945</v>
      </c>
      <c r="H678" s="3">
        <v>57.01</v>
      </c>
      <c r="I678" s="3">
        <v>55.14</v>
      </c>
      <c r="J678">
        <v>147</v>
      </c>
      <c r="K678" t="s">
        <v>27</v>
      </c>
      <c r="L678">
        <f t="shared" si="50"/>
        <v>20</v>
      </c>
      <c r="M678" s="3">
        <f>Table1[[#This Row],[Quantity]]*Table1[[#This Row],[Negotiated_Price]]</f>
        <v>52107.3</v>
      </c>
      <c r="N678" s="3">
        <f>Table1[[#This Row],[Quantity]]*Table1[[#This Row],[Unit_Price]]</f>
        <v>53874.45</v>
      </c>
      <c r="O678" s="3">
        <f>Table1[[#This Row],[ Original_Spend ]]-Table1[[#This Row],[ Total_Spend ]]</f>
        <v>1767.1499999999942</v>
      </c>
      <c r="P678" s="2">
        <f t="shared" si="51"/>
        <v>3.2801262936326854E-2</v>
      </c>
      <c r="Q678" s="2">
        <f t="shared" si="52"/>
        <v>0.15555555555555556</v>
      </c>
      <c r="R678" t="str">
        <f t="shared" si="53"/>
        <v>Late</v>
      </c>
      <c r="S678" t="str">
        <f t="shared" si="54"/>
        <v>OK</v>
      </c>
    </row>
    <row r="679" spans="1:19" x14ac:dyDescent="0.25">
      <c r="A679" t="s">
        <v>704</v>
      </c>
      <c r="B679" t="s">
        <v>17</v>
      </c>
      <c r="C679" s="1">
        <v>45274</v>
      </c>
      <c r="D679" s="1">
        <v>45287</v>
      </c>
      <c r="E679" t="s">
        <v>21</v>
      </c>
      <c r="F679" t="s">
        <v>35</v>
      </c>
      <c r="G679">
        <v>209</v>
      </c>
      <c r="H679" s="3">
        <v>72.709999999999994</v>
      </c>
      <c r="I679" s="3">
        <v>64.34</v>
      </c>
      <c r="J679">
        <v>39</v>
      </c>
      <c r="K679" t="s">
        <v>15</v>
      </c>
      <c r="L679">
        <f t="shared" si="50"/>
        <v>13</v>
      </c>
      <c r="M679" s="3">
        <f>Table1[[#This Row],[Quantity]]*Table1[[#This Row],[Negotiated_Price]]</f>
        <v>13447.060000000001</v>
      </c>
      <c r="N679" s="3">
        <f>Table1[[#This Row],[Quantity]]*Table1[[#This Row],[Unit_Price]]</f>
        <v>15196.39</v>
      </c>
      <c r="O679" s="3">
        <f>Table1[[#This Row],[ Original_Spend ]]-Table1[[#This Row],[ Total_Spend ]]</f>
        <v>1749.3299999999981</v>
      </c>
      <c r="P679" s="2">
        <f t="shared" si="51"/>
        <v>0.11511483977444631</v>
      </c>
      <c r="Q679" s="2">
        <f t="shared" si="52"/>
        <v>0.18660287081339713</v>
      </c>
      <c r="R679" t="str">
        <f t="shared" si="53"/>
        <v>Pending</v>
      </c>
      <c r="S679" t="str">
        <f t="shared" si="54"/>
        <v>Status-Date Conflict</v>
      </c>
    </row>
    <row r="680" spans="1:19" x14ac:dyDescent="0.25">
      <c r="A680" t="s">
        <v>705</v>
      </c>
      <c r="B680" t="s">
        <v>23</v>
      </c>
      <c r="C680" s="1">
        <v>44582</v>
      </c>
      <c r="E680" t="s">
        <v>24</v>
      </c>
      <c r="F680" t="s">
        <v>18</v>
      </c>
      <c r="G680">
        <v>1548</v>
      </c>
      <c r="H680" s="3">
        <v>25.03</v>
      </c>
      <c r="I680" s="3">
        <v>22.87</v>
      </c>
      <c r="K680" t="s">
        <v>15</v>
      </c>
      <c r="L680" t="str">
        <f t="shared" si="50"/>
        <v/>
      </c>
      <c r="M680" s="3">
        <f>Table1[[#This Row],[Quantity]]*Table1[[#This Row],[Negotiated_Price]]</f>
        <v>35402.76</v>
      </c>
      <c r="N680" s="3">
        <f>Table1[[#This Row],[Quantity]]*Table1[[#This Row],[Unit_Price]]</f>
        <v>38746.44</v>
      </c>
      <c r="O680" s="3">
        <f>Table1[[#This Row],[ Original_Spend ]]-Table1[[#This Row],[ Total_Spend ]]</f>
        <v>3343.6800000000003</v>
      </c>
      <c r="P680" s="2">
        <f t="shared" si="51"/>
        <v>8.629644426687974E-2</v>
      </c>
      <c r="Q680" s="2">
        <f t="shared" si="52"/>
        <v>0</v>
      </c>
      <c r="R680" t="str">
        <f t="shared" si="53"/>
        <v>Missing Delivery Date</v>
      </c>
      <c r="S680" t="str">
        <f t="shared" si="54"/>
        <v>Missing Delivery Date</v>
      </c>
    </row>
    <row r="681" spans="1:19" x14ac:dyDescent="0.25">
      <c r="A681" t="s">
        <v>706</v>
      </c>
      <c r="B681" t="s">
        <v>17</v>
      </c>
      <c r="C681" s="1">
        <v>45151</v>
      </c>
      <c r="D681" s="1">
        <v>45161</v>
      </c>
      <c r="E681" t="s">
        <v>26</v>
      </c>
      <c r="F681" t="s">
        <v>18</v>
      </c>
      <c r="G681">
        <v>901</v>
      </c>
      <c r="H681" s="3">
        <v>108.63</v>
      </c>
      <c r="I681" s="3">
        <v>106.3</v>
      </c>
      <c r="J681">
        <v>141</v>
      </c>
      <c r="K681" t="s">
        <v>15</v>
      </c>
      <c r="L681">
        <f t="shared" si="50"/>
        <v>10</v>
      </c>
      <c r="M681" s="3">
        <f>Table1[[#This Row],[Quantity]]*Table1[[#This Row],[Negotiated_Price]]</f>
        <v>95776.3</v>
      </c>
      <c r="N681" s="3">
        <f>Table1[[#This Row],[Quantity]]*Table1[[#This Row],[Unit_Price]]</f>
        <v>97875.62999999999</v>
      </c>
      <c r="O681" s="3">
        <f>Table1[[#This Row],[ Original_Spend ]]-Table1[[#This Row],[ Total_Spend ]]</f>
        <v>2099.3299999999872</v>
      </c>
      <c r="P681" s="2">
        <f t="shared" si="51"/>
        <v>2.1448955168921899E-2</v>
      </c>
      <c r="Q681" s="2">
        <f t="shared" si="52"/>
        <v>0.15649278579356271</v>
      </c>
      <c r="R681" t="str">
        <f t="shared" si="53"/>
        <v>On Time</v>
      </c>
      <c r="S681" t="str">
        <f t="shared" si="54"/>
        <v>OK</v>
      </c>
    </row>
    <row r="682" spans="1:19" x14ac:dyDescent="0.25">
      <c r="A682" t="s">
        <v>707</v>
      </c>
      <c r="B682" t="s">
        <v>29</v>
      </c>
      <c r="C682" s="1">
        <v>44951</v>
      </c>
      <c r="D682" s="1">
        <v>44968</v>
      </c>
      <c r="E682" t="s">
        <v>24</v>
      </c>
      <c r="F682" t="s">
        <v>18</v>
      </c>
      <c r="G682">
        <v>1737</v>
      </c>
      <c r="H682" s="3">
        <v>32.700000000000003</v>
      </c>
      <c r="I682" s="3">
        <v>31.02</v>
      </c>
      <c r="J682">
        <v>48</v>
      </c>
      <c r="K682" t="s">
        <v>15</v>
      </c>
      <c r="L682">
        <f t="shared" si="50"/>
        <v>17</v>
      </c>
      <c r="M682" s="3">
        <f>Table1[[#This Row],[Quantity]]*Table1[[#This Row],[Negotiated_Price]]</f>
        <v>53881.74</v>
      </c>
      <c r="N682" s="3">
        <f>Table1[[#This Row],[Quantity]]*Table1[[#This Row],[Unit_Price]]</f>
        <v>56799.9</v>
      </c>
      <c r="O682" s="3">
        <f>Table1[[#This Row],[ Original_Spend ]]-Table1[[#This Row],[ Total_Spend ]]</f>
        <v>2918.1600000000035</v>
      </c>
      <c r="P682" s="2">
        <f t="shared" si="51"/>
        <v>5.1376146788990884E-2</v>
      </c>
      <c r="Q682" s="2">
        <f t="shared" si="52"/>
        <v>2.7633851468048358E-2</v>
      </c>
      <c r="R682" t="str">
        <f t="shared" si="53"/>
        <v>Late</v>
      </c>
      <c r="S682" t="str">
        <f t="shared" si="54"/>
        <v>OK</v>
      </c>
    </row>
    <row r="683" spans="1:19" x14ac:dyDescent="0.25">
      <c r="A683" t="s">
        <v>708</v>
      </c>
      <c r="B683" t="s">
        <v>23</v>
      </c>
      <c r="C683" s="1">
        <v>45050</v>
      </c>
      <c r="D683" s="1">
        <v>45068</v>
      </c>
      <c r="E683" t="s">
        <v>26</v>
      </c>
      <c r="F683" t="s">
        <v>18</v>
      </c>
      <c r="G683">
        <v>1981</v>
      </c>
      <c r="H683" s="3">
        <v>102.43</v>
      </c>
      <c r="I683" s="3">
        <v>90.99</v>
      </c>
      <c r="J683">
        <v>204</v>
      </c>
      <c r="K683" t="s">
        <v>15</v>
      </c>
      <c r="L683">
        <f t="shared" si="50"/>
        <v>18</v>
      </c>
      <c r="M683" s="3">
        <f>Table1[[#This Row],[Quantity]]*Table1[[#This Row],[Negotiated_Price]]</f>
        <v>180251.19</v>
      </c>
      <c r="N683" s="3">
        <f>Table1[[#This Row],[Quantity]]*Table1[[#This Row],[Unit_Price]]</f>
        <v>202913.83000000002</v>
      </c>
      <c r="O683" s="3">
        <f>Table1[[#This Row],[ Original_Spend ]]-Table1[[#This Row],[ Total_Spend ]]</f>
        <v>22662.640000000014</v>
      </c>
      <c r="P683" s="2">
        <f t="shared" si="51"/>
        <v>0.1116860294835498</v>
      </c>
      <c r="Q683" s="2">
        <f t="shared" si="52"/>
        <v>0.10297829379101464</v>
      </c>
      <c r="R683" t="str">
        <f t="shared" si="53"/>
        <v>Late</v>
      </c>
      <c r="S683" t="str">
        <f t="shared" si="54"/>
        <v>OK</v>
      </c>
    </row>
    <row r="684" spans="1:19" x14ac:dyDescent="0.25">
      <c r="A684" t="s">
        <v>709</v>
      </c>
      <c r="B684" t="s">
        <v>29</v>
      </c>
      <c r="C684" s="1">
        <v>44568</v>
      </c>
      <c r="D684" s="1">
        <v>44587</v>
      </c>
      <c r="E684" t="s">
        <v>21</v>
      </c>
      <c r="F684" t="s">
        <v>35</v>
      </c>
      <c r="G684">
        <v>739</v>
      </c>
      <c r="H684" s="3">
        <v>68.47</v>
      </c>
      <c r="I684" s="3">
        <v>66.09</v>
      </c>
      <c r="J684">
        <v>19</v>
      </c>
      <c r="K684" t="s">
        <v>15</v>
      </c>
      <c r="L684">
        <f t="shared" si="50"/>
        <v>19</v>
      </c>
      <c r="M684" s="3">
        <f>Table1[[#This Row],[Quantity]]*Table1[[#This Row],[Negotiated_Price]]</f>
        <v>48840.51</v>
      </c>
      <c r="N684" s="3">
        <f>Table1[[#This Row],[Quantity]]*Table1[[#This Row],[Unit_Price]]</f>
        <v>50599.33</v>
      </c>
      <c r="O684" s="3">
        <f>Table1[[#This Row],[ Original_Spend ]]-Table1[[#This Row],[ Total_Spend ]]</f>
        <v>1758.8199999999997</v>
      </c>
      <c r="P684" s="2">
        <f t="shared" si="51"/>
        <v>3.4759748795092735E-2</v>
      </c>
      <c r="Q684" s="2">
        <f t="shared" si="52"/>
        <v>2.571041948579161E-2</v>
      </c>
      <c r="R684" t="str">
        <f t="shared" si="53"/>
        <v>Pending</v>
      </c>
      <c r="S684" t="str">
        <f t="shared" si="54"/>
        <v>Status-Date Conflict</v>
      </c>
    </row>
    <row r="685" spans="1:19" x14ac:dyDescent="0.25">
      <c r="A685" t="s">
        <v>710</v>
      </c>
      <c r="B685" t="s">
        <v>23</v>
      </c>
      <c r="C685" s="1">
        <v>44922</v>
      </c>
      <c r="D685" s="1">
        <v>44923</v>
      </c>
      <c r="E685" t="s">
        <v>26</v>
      </c>
      <c r="F685" t="s">
        <v>18</v>
      </c>
      <c r="G685">
        <v>1748</v>
      </c>
      <c r="H685" s="3">
        <v>68.25</v>
      </c>
      <c r="I685" s="3">
        <v>62.84</v>
      </c>
      <c r="J685">
        <v>171</v>
      </c>
      <c r="K685" t="s">
        <v>15</v>
      </c>
      <c r="L685">
        <f t="shared" si="50"/>
        <v>1</v>
      </c>
      <c r="M685" s="3">
        <f>Table1[[#This Row],[Quantity]]*Table1[[#This Row],[Negotiated_Price]]</f>
        <v>109844.32</v>
      </c>
      <c r="N685" s="3">
        <f>Table1[[#This Row],[Quantity]]*Table1[[#This Row],[Unit_Price]]</f>
        <v>119301</v>
      </c>
      <c r="O685" s="3">
        <f>Table1[[#This Row],[ Original_Spend ]]-Table1[[#This Row],[ Total_Spend ]]</f>
        <v>9456.679999999993</v>
      </c>
      <c r="P685" s="2">
        <f t="shared" si="51"/>
        <v>7.9267399267399202E-2</v>
      </c>
      <c r="Q685" s="2">
        <f t="shared" si="52"/>
        <v>9.7826086956521743E-2</v>
      </c>
      <c r="R685" t="str">
        <f t="shared" si="53"/>
        <v>On Time</v>
      </c>
      <c r="S685" t="str">
        <f t="shared" si="54"/>
        <v>OK</v>
      </c>
    </row>
    <row r="686" spans="1:19" x14ac:dyDescent="0.25">
      <c r="A686" t="s">
        <v>711</v>
      </c>
      <c r="B686" t="s">
        <v>17</v>
      </c>
      <c r="C686" s="1">
        <v>44867</v>
      </c>
      <c r="D686" s="1">
        <v>44871</v>
      </c>
      <c r="E686" t="s">
        <v>13</v>
      </c>
      <c r="F686" t="s">
        <v>14</v>
      </c>
      <c r="G686">
        <v>429</v>
      </c>
      <c r="H686" s="3">
        <v>58.95</v>
      </c>
      <c r="I686" s="3">
        <v>55.35</v>
      </c>
      <c r="J686">
        <v>59</v>
      </c>
      <c r="K686" t="s">
        <v>27</v>
      </c>
      <c r="L686">
        <f t="shared" si="50"/>
        <v>4</v>
      </c>
      <c r="M686" s="3">
        <f>Table1[[#This Row],[Quantity]]*Table1[[#This Row],[Negotiated_Price]]</f>
        <v>23745.15</v>
      </c>
      <c r="N686" s="3">
        <f>Table1[[#This Row],[Quantity]]*Table1[[#This Row],[Unit_Price]]</f>
        <v>25289.550000000003</v>
      </c>
      <c r="O686" s="3">
        <f>Table1[[#This Row],[ Original_Spend ]]-Table1[[#This Row],[ Total_Spend ]]</f>
        <v>1544.4000000000015</v>
      </c>
      <c r="P686" s="2">
        <f t="shared" si="51"/>
        <v>6.1068702290076389E-2</v>
      </c>
      <c r="Q686" s="2">
        <f t="shared" si="52"/>
        <v>0.13752913752913754</v>
      </c>
      <c r="R686" t="str">
        <f t="shared" si="53"/>
        <v>Cancelled</v>
      </c>
      <c r="S686" t="str">
        <f t="shared" si="54"/>
        <v>Status-Date Conflict</v>
      </c>
    </row>
    <row r="687" spans="1:19" x14ac:dyDescent="0.25">
      <c r="A687" t="s">
        <v>712</v>
      </c>
      <c r="B687" t="s">
        <v>20</v>
      </c>
      <c r="C687" s="1">
        <v>44961</v>
      </c>
      <c r="E687" t="s">
        <v>39</v>
      </c>
      <c r="F687" t="s">
        <v>18</v>
      </c>
      <c r="G687">
        <v>1618</v>
      </c>
      <c r="H687" s="3">
        <v>32.76</v>
      </c>
      <c r="I687" s="3">
        <v>28.41</v>
      </c>
      <c r="J687">
        <v>62</v>
      </c>
      <c r="K687" t="s">
        <v>15</v>
      </c>
      <c r="L687" t="str">
        <f t="shared" si="50"/>
        <v/>
      </c>
      <c r="M687" s="3">
        <f>Table1[[#This Row],[Quantity]]*Table1[[#This Row],[Negotiated_Price]]</f>
        <v>45967.38</v>
      </c>
      <c r="N687" s="3">
        <f>Table1[[#This Row],[Quantity]]*Table1[[#This Row],[Unit_Price]]</f>
        <v>53005.68</v>
      </c>
      <c r="O687" s="3">
        <f>Table1[[#This Row],[ Original_Spend ]]-Table1[[#This Row],[ Total_Spend ]]</f>
        <v>7038.3000000000029</v>
      </c>
      <c r="P687" s="2">
        <f t="shared" si="51"/>
        <v>0.13278388278388284</v>
      </c>
      <c r="Q687" s="2">
        <f t="shared" si="52"/>
        <v>3.8318912237330034E-2</v>
      </c>
      <c r="R687" t="str">
        <f t="shared" si="53"/>
        <v>Missing Delivery Date</v>
      </c>
      <c r="S687" t="str">
        <f t="shared" si="54"/>
        <v>Missing Delivery Date</v>
      </c>
    </row>
    <row r="688" spans="1:19" x14ac:dyDescent="0.25">
      <c r="A688" t="s">
        <v>713</v>
      </c>
      <c r="B688" t="s">
        <v>23</v>
      </c>
      <c r="C688" s="1">
        <v>44991</v>
      </c>
      <c r="D688" s="1">
        <v>44992</v>
      </c>
      <c r="E688" t="s">
        <v>24</v>
      </c>
      <c r="F688" t="s">
        <v>18</v>
      </c>
      <c r="G688">
        <v>1006</v>
      </c>
      <c r="H688" s="3">
        <v>27.7</v>
      </c>
      <c r="I688" s="3">
        <v>23.66</v>
      </c>
      <c r="J688">
        <v>101</v>
      </c>
      <c r="K688" t="s">
        <v>27</v>
      </c>
      <c r="L688">
        <f t="shared" si="50"/>
        <v>1</v>
      </c>
      <c r="M688" s="3">
        <f>Table1[[#This Row],[Quantity]]*Table1[[#This Row],[Negotiated_Price]]</f>
        <v>23801.96</v>
      </c>
      <c r="N688" s="3">
        <f>Table1[[#This Row],[Quantity]]*Table1[[#This Row],[Unit_Price]]</f>
        <v>27866.2</v>
      </c>
      <c r="O688" s="3">
        <f>Table1[[#This Row],[ Original_Spend ]]-Table1[[#This Row],[ Total_Spend ]]</f>
        <v>4064.2400000000016</v>
      </c>
      <c r="P688" s="2">
        <f t="shared" si="51"/>
        <v>0.14584837545126358</v>
      </c>
      <c r="Q688" s="2">
        <f t="shared" si="52"/>
        <v>0.10039761431411531</v>
      </c>
      <c r="R688" t="str">
        <f t="shared" si="53"/>
        <v>On Time</v>
      </c>
      <c r="S688" t="str">
        <f t="shared" si="54"/>
        <v>OK</v>
      </c>
    </row>
    <row r="689" spans="1:19" x14ac:dyDescent="0.25">
      <c r="A689" t="s">
        <v>714</v>
      </c>
      <c r="B689" t="s">
        <v>23</v>
      </c>
      <c r="C689" s="1">
        <v>45113</v>
      </c>
      <c r="D689" s="1">
        <v>45122</v>
      </c>
      <c r="E689" t="s">
        <v>39</v>
      </c>
      <c r="F689" t="s">
        <v>33</v>
      </c>
      <c r="G689">
        <v>740</v>
      </c>
      <c r="H689" s="3">
        <v>32.53</v>
      </c>
      <c r="I689" s="3">
        <v>29.35</v>
      </c>
      <c r="J689">
        <v>84</v>
      </c>
      <c r="K689" t="s">
        <v>15</v>
      </c>
      <c r="L689">
        <f t="shared" si="50"/>
        <v>9</v>
      </c>
      <c r="M689" s="3">
        <f>Table1[[#This Row],[Quantity]]*Table1[[#This Row],[Negotiated_Price]]</f>
        <v>21719</v>
      </c>
      <c r="N689" s="3">
        <f>Table1[[#This Row],[Quantity]]*Table1[[#This Row],[Unit_Price]]</f>
        <v>24072.2</v>
      </c>
      <c r="O689" s="3">
        <f>Table1[[#This Row],[ Original_Spend ]]-Table1[[#This Row],[ Total_Spend ]]</f>
        <v>2353.2000000000007</v>
      </c>
      <c r="P689" s="2">
        <f t="shared" si="51"/>
        <v>9.7755917614509705E-2</v>
      </c>
      <c r="Q689" s="2">
        <f t="shared" si="52"/>
        <v>0.11351351351351352</v>
      </c>
      <c r="R689" t="str">
        <f t="shared" si="53"/>
        <v>Partially Delivered</v>
      </c>
      <c r="S689" t="str">
        <f t="shared" si="54"/>
        <v>Status-Date Conflict</v>
      </c>
    </row>
    <row r="690" spans="1:19" x14ac:dyDescent="0.25">
      <c r="A690" t="s">
        <v>715</v>
      </c>
      <c r="B690" t="s">
        <v>20</v>
      </c>
      <c r="C690" s="1">
        <v>45121</v>
      </c>
      <c r="E690" t="s">
        <v>26</v>
      </c>
      <c r="F690" t="s">
        <v>18</v>
      </c>
      <c r="G690">
        <v>1500</v>
      </c>
      <c r="H690" s="3">
        <v>29.19</v>
      </c>
      <c r="I690" s="3">
        <v>27.24</v>
      </c>
      <c r="J690">
        <v>72</v>
      </c>
      <c r="K690" t="s">
        <v>15</v>
      </c>
      <c r="L690" t="str">
        <f t="shared" si="50"/>
        <v/>
      </c>
      <c r="M690" s="3">
        <f>Table1[[#This Row],[Quantity]]*Table1[[#This Row],[Negotiated_Price]]</f>
        <v>40860</v>
      </c>
      <c r="N690" s="3">
        <f>Table1[[#This Row],[Quantity]]*Table1[[#This Row],[Unit_Price]]</f>
        <v>43785</v>
      </c>
      <c r="O690" s="3">
        <f>Table1[[#This Row],[ Original_Spend ]]-Table1[[#This Row],[ Total_Spend ]]</f>
        <v>2925</v>
      </c>
      <c r="P690" s="2">
        <f t="shared" si="51"/>
        <v>6.680369989722508E-2</v>
      </c>
      <c r="Q690" s="2">
        <f t="shared" si="52"/>
        <v>4.8000000000000001E-2</v>
      </c>
      <c r="R690" t="str">
        <f t="shared" si="53"/>
        <v>Missing Delivery Date</v>
      </c>
      <c r="S690" t="str">
        <f t="shared" si="54"/>
        <v>Missing Delivery Date</v>
      </c>
    </row>
    <row r="691" spans="1:19" x14ac:dyDescent="0.25">
      <c r="A691" t="s">
        <v>716</v>
      </c>
      <c r="B691" t="s">
        <v>17</v>
      </c>
      <c r="C691" s="1">
        <v>45179</v>
      </c>
      <c r="D691" s="1">
        <v>45198</v>
      </c>
      <c r="E691" t="s">
        <v>13</v>
      </c>
      <c r="F691" t="s">
        <v>14</v>
      </c>
      <c r="G691">
        <v>1686</v>
      </c>
      <c r="H691" s="3">
        <v>88.18</v>
      </c>
      <c r="I691" s="3">
        <v>77.150000000000006</v>
      </c>
      <c r="K691" t="s">
        <v>15</v>
      </c>
      <c r="L691">
        <f t="shared" si="50"/>
        <v>19</v>
      </c>
      <c r="M691" s="3">
        <f>Table1[[#This Row],[Quantity]]*Table1[[#This Row],[Negotiated_Price]]</f>
        <v>130074.90000000001</v>
      </c>
      <c r="N691" s="3">
        <f>Table1[[#This Row],[Quantity]]*Table1[[#This Row],[Unit_Price]]</f>
        <v>148671.48000000001</v>
      </c>
      <c r="O691" s="3">
        <f>Table1[[#This Row],[ Original_Spend ]]-Table1[[#This Row],[ Total_Spend ]]</f>
        <v>18596.580000000002</v>
      </c>
      <c r="P691" s="2">
        <f t="shared" si="51"/>
        <v>0.12508505330006806</v>
      </c>
      <c r="Q691" s="2">
        <f t="shared" si="52"/>
        <v>0</v>
      </c>
      <c r="R691" t="str">
        <f t="shared" si="53"/>
        <v>Cancelled</v>
      </c>
      <c r="S691" t="str">
        <f t="shared" si="54"/>
        <v>Status-Date Conflict</v>
      </c>
    </row>
    <row r="692" spans="1:19" x14ac:dyDescent="0.25">
      <c r="A692" t="s">
        <v>717</v>
      </c>
      <c r="B692" t="s">
        <v>29</v>
      </c>
      <c r="C692" s="1">
        <v>44787</v>
      </c>
      <c r="D692" s="1">
        <v>44789</v>
      </c>
      <c r="E692" t="s">
        <v>26</v>
      </c>
      <c r="F692" t="s">
        <v>14</v>
      </c>
      <c r="G692">
        <v>1341</v>
      </c>
      <c r="H692" s="3">
        <v>42.96</v>
      </c>
      <c r="I692" s="3">
        <v>41.75</v>
      </c>
      <c r="J692">
        <v>39</v>
      </c>
      <c r="K692" t="s">
        <v>15</v>
      </c>
      <c r="L692">
        <f t="shared" si="50"/>
        <v>2</v>
      </c>
      <c r="M692" s="3">
        <f>Table1[[#This Row],[Quantity]]*Table1[[#This Row],[Negotiated_Price]]</f>
        <v>55986.75</v>
      </c>
      <c r="N692" s="3">
        <f>Table1[[#This Row],[Quantity]]*Table1[[#This Row],[Unit_Price]]</f>
        <v>57609.36</v>
      </c>
      <c r="O692" s="3">
        <f>Table1[[#This Row],[ Original_Spend ]]-Table1[[#This Row],[ Total_Spend ]]</f>
        <v>1622.6100000000006</v>
      </c>
      <c r="P692" s="2">
        <f t="shared" si="51"/>
        <v>2.8165735567970213E-2</v>
      </c>
      <c r="Q692" s="2">
        <f t="shared" si="52"/>
        <v>2.9082774049217001E-2</v>
      </c>
      <c r="R692" t="str">
        <f t="shared" si="53"/>
        <v>Cancelled</v>
      </c>
      <c r="S692" t="str">
        <f t="shared" si="54"/>
        <v>Status-Date Conflict</v>
      </c>
    </row>
    <row r="693" spans="1:19" x14ac:dyDescent="0.25">
      <c r="A693" t="s">
        <v>718</v>
      </c>
      <c r="B693" t="s">
        <v>12</v>
      </c>
      <c r="C693" s="1">
        <v>45061</v>
      </c>
      <c r="D693" s="1">
        <v>45067</v>
      </c>
      <c r="E693" t="s">
        <v>21</v>
      </c>
      <c r="F693" t="s">
        <v>14</v>
      </c>
      <c r="G693">
        <v>1908</v>
      </c>
      <c r="H693" s="3">
        <v>16.420000000000002</v>
      </c>
      <c r="I693" s="3">
        <v>15.31</v>
      </c>
      <c r="J693">
        <v>36</v>
      </c>
      <c r="K693" t="s">
        <v>15</v>
      </c>
      <c r="L693">
        <f t="shared" si="50"/>
        <v>6</v>
      </c>
      <c r="M693" s="3">
        <f>Table1[[#This Row],[Quantity]]*Table1[[#This Row],[Negotiated_Price]]</f>
        <v>29211.48</v>
      </c>
      <c r="N693" s="3">
        <f>Table1[[#This Row],[Quantity]]*Table1[[#This Row],[Unit_Price]]</f>
        <v>31329.360000000004</v>
      </c>
      <c r="O693" s="3">
        <f>Table1[[#This Row],[ Original_Spend ]]-Table1[[#This Row],[ Total_Spend ]]</f>
        <v>2117.8800000000047</v>
      </c>
      <c r="P693" s="2">
        <f t="shared" si="51"/>
        <v>6.7600487210718777E-2</v>
      </c>
      <c r="Q693" s="2">
        <f t="shared" si="52"/>
        <v>1.8867924528301886E-2</v>
      </c>
      <c r="R693" t="str">
        <f t="shared" si="53"/>
        <v>Cancelled</v>
      </c>
      <c r="S693" t="str">
        <f t="shared" si="54"/>
        <v>Status-Date Conflict</v>
      </c>
    </row>
    <row r="694" spans="1:19" x14ac:dyDescent="0.25">
      <c r="A694" t="s">
        <v>719</v>
      </c>
      <c r="B694" t="s">
        <v>20</v>
      </c>
      <c r="C694" s="1">
        <v>44786</v>
      </c>
      <c r="D694" s="1">
        <v>44806</v>
      </c>
      <c r="E694" t="s">
        <v>21</v>
      </c>
      <c r="F694" t="s">
        <v>33</v>
      </c>
      <c r="G694">
        <v>1650</v>
      </c>
      <c r="H694" s="3">
        <v>100.62</v>
      </c>
      <c r="I694" s="3">
        <v>90.45</v>
      </c>
      <c r="J694">
        <v>85</v>
      </c>
      <c r="K694" t="s">
        <v>15</v>
      </c>
      <c r="L694">
        <f t="shared" si="50"/>
        <v>20</v>
      </c>
      <c r="M694" s="3">
        <f>Table1[[#This Row],[Quantity]]*Table1[[#This Row],[Negotiated_Price]]</f>
        <v>149242.5</v>
      </c>
      <c r="N694" s="3">
        <f>Table1[[#This Row],[Quantity]]*Table1[[#This Row],[Unit_Price]]</f>
        <v>166023</v>
      </c>
      <c r="O694" s="3">
        <f>Table1[[#This Row],[ Original_Spend ]]-Table1[[#This Row],[ Total_Spend ]]</f>
        <v>16780.5</v>
      </c>
      <c r="P694" s="2">
        <f t="shared" si="51"/>
        <v>0.10107334525939177</v>
      </c>
      <c r="Q694" s="2">
        <f t="shared" si="52"/>
        <v>5.1515151515151514E-2</v>
      </c>
      <c r="R694" t="str">
        <f t="shared" si="53"/>
        <v>Partially Delivered</v>
      </c>
      <c r="S694" t="str">
        <f t="shared" si="54"/>
        <v>Status-Date Conflict</v>
      </c>
    </row>
    <row r="695" spans="1:19" x14ac:dyDescent="0.25">
      <c r="A695" t="s">
        <v>720</v>
      </c>
      <c r="B695" t="s">
        <v>12</v>
      </c>
      <c r="C695" s="1">
        <v>44841</v>
      </c>
      <c r="D695" s="1">
        <v>44854</v>
      </c>
      <c r="E695" t="s">
        <v>21</v>
      </c>
      <c r="F695" t="s">
        <v>18</v>
      </c>
      <c r="G695">
        <v>1490</v>
      </c>
      <c r="H695" s="3">
        <v>93.57</v>
      </c>
      <c r="I695" s="3">
        <v>81.680000000000007</v>
      </c>
      <c r="J695">
        <v>29</v>
      </c>
      <c r="K695" t="s">
        <v>15</v>
      </c>
      <c r="L695">
        <f t="shared" si="50"/>
        <v>13</v>
      </c>
      <c r="M695" s="3">
        <f>Table1[[#This Row],[Quantity]]*Table1[[#This Row],[Negotiated_Price]]</f>
        <v>121703.20000000001</v>
      </c>
      <c r="N695" s="3">
        <f>Table1[[#This Row],[Quantity]]*Table1[[#This Row],[Unit_Price]]</f>
        <v>139419.29999999999</v>
      </c>
      <c r="O695" s="3">
        <f>Table1[[#This Row],[ Original_Spend ]]-Table1[[#This Row],[ Total_Spend ]]</f>
        <v>17716.099999999977</v>
      </c>
      <c r="P695" s="2">
        <f t="shared" si="51"/>
        <v>0.1270706422998823</v>
      </c>
      <c r="Q695" s="2">
        <f t="shared" si="52"/>
        <v>1.9463087248322148E-2</v>
      </c>
      <c r="R695" t="str">
        <f t="shared" si="53"/>
        <v>Late</v>
      </c>
      <c r="S695" t="str">
        <f t="shared" si="54"/>
        <v>OK</v>
      </c>
    </row>
    <row r="696" spans="1:19" x14ac:dyDescent="0.25">
      <c r="A696" t="s">
        <v>721</v>
      </c>
      <c r="B696" t="s">
        <v>17</v>
      </c>
      <c r="C696" s="1">
        <v>45008</v>
      </c>
      <c r="D696" s="1">
        <v>45016</v>
      </c>
      <c r="E696" t="s">
        <v>26</v>
      </c>
      <c r="F696" t="s">
        <v>18</v>
      </c>
      <c r="G696">
        <v>1241</v>
      </c>
      <c r="H696" s="3">
        <v>100.04</v>
      </c>
      <c r="I696" s="3">
        <v>97.56</v>
      </c>
      <c r="J696">
        <v>187</v>
      </c>
      <c r="K696" t="s">
        <v>15</v>
      </c>
      <c r="L696">
        <f t="shared" si="50"/>
        <v>8</v>
      </c>
      <c r="M696" s="3">
        <f>Table1[[#This Row],[Quantity]]*Table1[[#This Row],[Negotiated_Price]]</f>
        <v>121071.96</v>
      </c>
      <c r="N696" s="3">
        <f>Table1[[#This Row],[Quantity]]*Table1[[#This Row],[Unit_Price]]</f>
        <v>124149.64000000001</v>
      </c>
      <c r="O696" s="3">
        <f>Table1[[#This Row],[ Original_Spend ]]-Table1[[#This Row],[ Total_Spend ]]</f>
        <v>3077.6800000000076</v>
      </c>
      <c r="P696" s="2">
        <f t="shared" si="51"/>
        <v>2.4790083966413492E-2</v>
      </c>
      <c r="Q696" s="2">
        <f t="shared" si="52"/>
        <v>0.15068493150684931</v>
      </c>
      <c r="R696" t="str">
        <f t="shared" si="53"/>
        <v>On Time</v>
      </c>
      <c r="S696" t="str">
        <f t="shared" si="54"/>
        <v>OK</v>
      </c>
    </row>
    <row r="697" spans="1:19" x14ac:dyDescent="0.25">
      <c r="A697" t="s">
        <v>722</v>
      </c>
      <c r="B697" t="s">
        <v>23</v>
      </c>
      <c r="C697" s="1">
        <v>45059</v>
      </c>
      <c r="D697" s="1">
        <v>45063</v>
      </c>
      <c r="E697" t="s">
        <v>21</v>
      </c>
      <c r="F697" t="s">
        <v>18</v>
      </c>
      <c r="G697">
        <v>1915</v>
      </c>
      <c r="H697" s="3">
        <v>107.51</v>
      </c>
      <c r="I697" s="3">
        <v>102.66</v>
      </c>
      <c r="J697">
        <v>184</v>
      </c>
      <c r="K697" t="s">
        <v>15</v>
      </c>
      <c r="L697">
        <f t="shared" si="50"/>
        <v>4</v>
      </c>
      <c r="M697" s="3">
        <f>Table1[[#This Row],[Quantity]]*Table1[[#This Row],[Negotiated_Price]]</f>
        <v>196593.9</v>
      </c>
      <c r="N697" s="3">
        <f>Table1[[#This Row],[Quantity]]*Table1[[#This Row],[Unit_Price]]</f>
        <v>205881.65000000002</v>
      </c>
      <c r="O697" s="3">
        <f>Table1[[#This Row],[ Original_Spend ]]-Table1[[#This Row],[ Total_Spend ]]</f>
        <v>9287.7500000000291</v>
      </c>
      <c r="P697" s="2">
        <f t="shared" si="51"/>
        <v>4.5112082596967862E-2</v>
      </c>
      <c r="Q697" s="2">
        <f t="shared" si="52"/>
        <v>9.608355091383812E-2</v>
      </c>
      <c r="R697" t="str">
        <f t="shared" si="53"/>
        <v>On Time</v>
      </c>
      <c r="S697" t="str">
        <f t="shared" si="54"/>
        <v>OK</v>
      </c>
    </row>
    <row r="698" spans="1:19" x14ac:dyDescent="0.25">
      <c r="A698" t="s">
        <v>723</v>
      </c>
      <c r="B698" t="s">
        <v>23</v>
      </c>
      <c r="C698" s="1">
        <v>44591</v>
      </c>
      <c r="D698" s="1">
        <v>44606</v>
      </c>
      <c r="E698" t="s">
        <v>26</v>
      </c>
      <c r="F698" t="s">
        <v>18</v>
      </c>
      <c r="G698">
        <v>1116</v>
      </c>
      <c r="H698" s="3">
        <v>25.65</v>
      </c>
      <c r="I698" s="3">
        <v>24.28</v>
      </c>
      <c r="J698">
        <v>121</v>
      </c>
      <c r="K698" t="s">
        <v>15</v>
      </c>
      <c r="L698">
        <f t="shared" si="50"/>
        <v>15</v>
      </c>
      <c r="M698" s="3">
        <f>Table1[[#This Row],[Quantity]]*Table1[[#This Row],[Negotiated_Price]]</f>
        <v>27096.48</v>
      </c>
      <c r="N698" s="3">
        <f>Table1[[#This Row],[Quantity]]*Table1[[#This Row],[Unit_Price]]</f>
        <v>28625.399999999998</v>
      </c>
      <c r="O698" s="3">
        <f>Table1[[#This Row],[ Original_Spend ]]-Table1[[#This Row],[ Total_Spend ]]</f>
        <v>1528.9199999999983</v>
      </c>
      <c r="P698" s="2">
        <f t="shared" si="51"/>
        <v>5.341130604288493E-2</v>
      </c>
      <c r="Q698" s="2">
        <f t="shared" si="52"/>
        <v>0.10842293906810035</v>
      </c>
      <c r="R698" t="str">
        <f t="shared" si="53"/>
        <v>Late</v>
      </c>
      <c r="S698" t="str">
        <f t="shared" si="54"/>
        <v>OK</v>
      </c>
    </row>
    <row r="699" spans="1:19" x14ac:dyDescent="0.25">
      <c r="A699" t="s">
        <v>724</v>
      </c>
      <c r="B699" t="s">
        <v>17</v>
      </c>
      <c r="C699" s="1">
        <v>44960</v>
      </c>
      <c r="D699" s="1">
        <v>44965</v>
      </c>
      <c r="E699" t="s">
        <v>26</v>
      </c>
      <c r="F699" t="s">
        <v>18</v>
      </c>
      <c r="G699">
        <v>1629</v>
      </c>
      <c r="H699" s="3">
        <v>48.63</v>
      </c>
      <c r="I699" s="3">
        <v>43.28</v>
      </c>
      <c r="J699">
        <v>260</v>
      </c>
      <c r="K699" t="s">
        <v>15</v>
      </c>
      <c r="L699">
        <f t="shared" si="50"/>
        <v>5</v>
      </c>
      <c r="M699" s="3">
        <f>Table1[[#This Row],[Quantity]]*Table1[[#This Row],[Negotiated_Price]]</f>
        <v>70503.12</v>
      </c>
      <c r="N699" s="3">
        <f>Table1[[#This Row],[Quantity]]*Table1[[#This Row],[Unit_Price]]</f>
        <v>79218.27</v>
      </c>
      <c r="O699" s="3">
        <f>Table1[[#This Row],[ Original_Spend ]]-Table1[[#This Row],[ Total_Spend ]]</f>
        <v>8715.1500000000087</v>
      </c>
      <c r="P699" s="2">
        <f t="shared" si="51"/>
        <v>0.11001439440674492</v>
      </c>
      <c r="Q699" s="2">
        <f t="shared" si="52"/>
        <v>0.15960712093308779</v>
      </c>
      <c r="R699" t="str">
        <f t="shared" si="53"/>
        <v>On Time</v>
      </c>
      <c r="S699" t="str">
        <f t="shared" si="54"/>
        <v>OK</v>
      </c>
    </row>
    <row r="700" spans="1:19" x14ac:dyDescent="0.25">
      <c r="A700" t="s">
        <v>725</v>
      </c>
      <c r="B700" t="s">
        <v>29</v>
      </c>
      <c r="C700" s="1">
        <v>44906</v>
      </c>
      <c r="D700" s="1">
        <v>44913</v>
      </c>
      <c r="E700" t="s">
        <v>13</v>
      </c>
      <c r="F700" t="s">
        <v>18</v>
      </c>
      <c r="G700">
        <v>334</v>
      </c>
      <c r="H700" s="3">
        <v>82.54</v>
      </c>
      <c r="I700" s="3">
        <v>74.63</v>
      </c>
      <c r="K700" t="s">
        <v>15</v>
      </c>
      <c r="L700">
        <f t="shared" si="50"/>
        <v>7</v>
      </c>
      <c r="M700" s="3">
        <f>Table1[[#This Row],[Quantity]]*Table1[[#This Row],[Negotiated_Price]]</f>
        <v>24926.42</v>
      </c>
      <c r="N700" s="3">
        <f>Table1[[#This Row],[Quantity]]*Table1[[#This Row],[Unit_Price]]</f>
        <v>27568.36</v>
      </c>
      <c r="O700" s="3">
        <f>Table1[[#This Row],[ Original_Spend ]]-Table1[[#This Row],[ Total_Spend ]]</f>
        <v>2641.9400000000023</v>
      </c>
      <c r="P700" s="2">
        <f t="shared" si="51"/>
        <v>9.5832323721831925E-2</v>
      </c>
      <c r="Q700" s="2">
        <f t="shared" si="52"/>
        <v>0</v>
      </c>
      <c r="R700" t="str">
        <f t="shared" si="53"/>
        <v>On Time</v>
      </c>
      <c r="S700" t="str">
        <f t="shared" si="54"/>
        <v>OK</v>
      </c>
    </row>
    <row r="701" spans="1:19" x14ac:dyDescent="0.25">
      <c r="A701" t="s">
        <v>726</v>
      </c>
      <c r="B701" t="s">
        <v>29</v>
      </c>
      <c r="C701" s="1">
        <v>45246</v>
      </c>
      <c r="D701" s="1">
        <v>45266</v>
      </c>
      <c r="E701" t="s">
        <v>24</v>
      </c>
      <c r="F701" t="s">
        <v>18</v>
      </c>
      <c r="G701">
        <v>446</v>
      </c>
      <c r="H701" s="3">
        <v>80.63</v>
      </c>
      <c r="I701" s="3">
        <v>70.37</v>
      </c>
      <c r="K701" t="s">
        <v>15</v>
      </c>
      <c r="L701">
        <f t="shared" si="50"/>
        <v>20</v>
      </c>
      <c r="M701" s="3">
        <f>Table1[[#This Row],[Quantity]]*Table1[[#This Row],[Negotiated_Price]]</f>
        <v>31385.02</v>
      </c>
      <c r="N701" s="3">
        <f>Table1[[#This Row],[Quantity]]*Table1[[#This Row],[Unit_Price]]</f>
        <v>35960.979999999996</v>
      </c>
      <c r="O701" s="3">
        <f>Table1[[#This Row],[ Original_Spend ]]-Table1[[#This Row],[ Total_Spend ]]</f>
        <v>4575.9599999999955</v>
      </c>
      <c r="P701" s="2">
        <f t="shared" si="51"/>
        <v>0.12724792260945048</v>
      </c>
      <c r="Q701" s="2">
        <f t="shared" si="52"/>
        <v>0</v>
      </c>
      <c r="R701" t="str">
        <f t="shared" si="53"/>
        <v>Late</v>
      </c>
      <c r="S701" t="str">
        <f t="shared" si="54"/>
        <v>OK</v>
      </c>
    </row>
    <row r="702" spans="1:19" x14ac:dyDescent="0.25">
      <c r="A702" t="s">
        <v>727</v>
      </c>
      <c r="B702" t="s">
        <v>17</v>
      </c>
      <c r="C702" s="1">
        <v>45257</v>
      </c>
      <c r="E702" t="s">
        <v>39</v>
      </c>
      <c r="F702" t="s">
        <v>18</v>
      </c>
      <c r="G702">
        <v>61</v>
      </c>
      <c r="H702" s="3">
        <v>26.47</v>
      </c>
      <c r="I702" s="3">
        <v>24.62</v>
      </c>
      <c r="J702">
        <v>6</v>
      </c>
      <c r="K702" t="s">
        <v>15</v>
      </c>
      <c r="L702" t="str">
        <f t="shared" si="50"/>
        <v/>
      </c>
      <c r="M702" s="3">
        <f>Table1[[#This Row],[Quantity]]*Table1[[#This Row],[Negotiated_Price]]</f>
        <v>1501.8200000000002</v>
      </c>
      <c r="N702" s="3">
        <f>Table1[[#This Row],[Quantity]]*Table1[[#This Row],[Unit_Price]]</f>
        <v>1614.6699999999998</v>
      </c>
      <c r="O702" s="3">
        <f>Table1[[#This Row],[ Original_Spend ]]-Table1[[#This Row],[ Total_Spend ]]</f>
        <v>112.84999999999968</v>
      </c>
      <c r="P702" s="2">
        <f t="shared" si="51"/>
        <v>6.9890442009822251E-2</v>
      </c>
      <c r="Q702" s="2">
        <f t="shared" si="52"/>
        <v>9.8360655737704916E-2</v>
      </c>
      <c r="R702" t="str">
        <f t="shared" si="53"/>
        <v>Missing Delivery Date</v>
      </c>
      <c r="S702" t="str">
        <f t="shared" si="54"/>
        <v>Missing Delivery Date</v>
      </c>
    </row>
    <row r="703" spans="1:19" x14ac:dyDescent="0.25">
      <c r="A703" t="s">
        <v>728</v>
      </c>
      <c r="B703" t="s">
        <v>17</v>
      </c>
      <c r="C703" s="1">
        <v>44976</v>
      </c>
      <c r="D703" s="1">
        <v>44978</v>
      </c>
      <c r="E703" t="s">
        <v>24</v>
      </c>
      <c r="F703" t="s">
        <v>18</v>
      </c>
      <c r="G703">
        <v>1680</v>
      </c>
      <c r="H703" s="3">
        <v>88.85</v>
      </c>
      <c r="I703" s="3">
        <v>87.53</v>
      </c>
      <c r="K703" t="s">
        <v>15</v>
      </c>
      <c r="L703">
        <f t="shared" si="50"/>
        <v>2</v>
      </c>
      <c r="M703" s="3">
        <f>Table1[[#This Row],[Quantity]]*Table1[[#This Row],[Negotiated_Price]]</f>
        <v>147050.4</v>
      </c>
      <c r="N703" s="3">
        <f>Table1[[#This Row],[Quantity]]*Table1[[#This Row],[Unit_Price]]</f>
        <v>149268</v>
      </c>
      <c r="O703" s="3">
        <f>Table1[[#This Row],[ Original_Spend ]]-Table1[[#This Row],[ Total_Spend ]]</f>
        <v>2217.6000000000058</v>
      </c>
      <c r="P703" s="2">
        <f t="shared" si="51"/>
        <v>1.4856499718626938E-2</v>
      </c>
      <c r="Q703" s="2">
        <f t="shared" si="52"/>
        <v>0</v>
      </c>
      <c r="R703" t="str">
        <f t="shared" si="53"/>
        <v>On Time</v>
      </c>
      <c r="S703" t="str">
        <f t="shared" si="54"/>
        <v>OK</v>
      </c>
    </row>
    <row r="704" spans="1:19" x14ac:dyDescent="0.25">
      <c r="A704" t="s">
        <v>729</v>
      </c>
      <c r="B704" t="s">
        <v>17</v>
      </c>
      <c r="C704" s="1">
        <v>44731</v>
      </c>
      <c r="D704" s="1">
        <v>44748</v>
      </c>
      <c r="E704" t="s">
        <v>39</v>
      </c>
      <c r="F704" t="s">
        <v>18</v>
      </c>
      <c r="G704">
        <v>1375</v>
      </c>
      <c r="H704" s="3">
        <v>30.95</v>
      </c>
      <c r="I704" s="3">
        <v>30.02</v>
      </c>
      <c r="J704">
        <v>223</v>
      </c>
      <c r="K704" t="s">
        <v>15</v>
      </c>
      <c r="L704">
        <f t="shared" si="50"/>
        <v>17</v>
      </c>
      <c r="M704" s="3">
        <f>Table1[[#This Row],[Quantity]]*Table1[[#This Row],[Negotiated_Price]]</f>
        <v>41277.5</v>
      </c>
      <c r="N704" s="3">
        <f>Table1[[#This Row],[Quantity]]*Table1[[#This Row],[Unit_Price]]</f>
        <v>42556.25</v>
      </c>
      <c r="O704" s="3">
        <f>Table1[[#This Row],[ Original_Spend ]]-Table1[[#This Row],[ Total_Spend ]]</f>
        <v>1278.75</v>
      </c>
      <c r="P704" s="2">
        <f t="shared" si="51"/>
        <v>3.0048465266558966E-2</v>
      </c>
      <c r="Q704" s="2">
        <f t="shared" si="52"/>
        <v>0.16218181818181818</v>
      </c>
      <c r="R704" t="str">
        <f t="shared" si="53"/>
        <v>Late</v>
      </c>
      <c r="S704" t="str">
        <f t="shared" si="54"/>
        <v>OK</v>
      </c>
    </row>
    <row r="705" spans="1:19" x14ac:dyDescent="0.25">
      <c r="A705" t="s">
        <v>730</v>
      </c>
      <c r="B705" t="s">
        <v>17</v>
      </c>
      <c r="C705" s="1">
        <v>45040</v>
      </c>
      <c r="D705" s="1">
        <v>45051</v>
      </c>
      <c r="E705" t="s">
        <v>39</v>
      </c>
      <c r="F705" t="s">
        <v>33</v>
      </c>
      <c r="G705">
        <v>1971</v>
      </c>
      <c r="H705" s="3">
        <v>32.4</v>
      </c>
      <c r="I705" s="3">
        <v>30.48</v>
      </c>
      <c r="J705">
        <v>321</v>
      </c>
      <c r="K705" t="s">
        <v>15</v>
      </c>
      <c r="L705">
        <f t="shared" si="50"/>
        <v>11</v>
      </c>
      <c r="M705" s="3">
        <f>Table1[[#This Row],[Quantity]]*Table1[[#This Row],[Negotiated_Price]]</f>
        <v>60076.08</v>
      </c>
      <c r="N705" s="3">
        <f>Table1[[#This Row],[Quantity]]*Table1[[#This Row],[Unit_Price]]</f>
        <v>63860.399999999994</v>
      </c>
      <c r="O705" s="3">
        <f>Table1[[#This Row],[ Original_Spend ]]-Table1[[#This Row],[ Total_Spend ]]</f>
        <v>3784.3199999999924</v>
      </c>
      <c r="P705" s="2">
        <f t="shared" si="51"/>
        <v>5.9259259259259144E-2</v>
      </c>
      <c r="Q705" s="2">
        <f t="shared" si="52"/>
        <v>0.16286149162861491</v>
      </c>
      <c r="R705" t="str">
        <f t="shared" si="53"/>
        <v>Partially Delivered</v>
      </c>
      <c r="S705" t="str">
        <f t="shared" si="54"/>
        <v>Status-Date Conflict</v>
      </c>
    </row>
    <row r="706" spans="1:19" x14ac:dyDescent="0.25">
      <c r="A706" t="s">
        <v>731</v>
      </c>
      <c r="B706" t="s">
        <v>17</v>
      </c>
      <c r="C706" s="1">
        <v>44692</v>
      </c>
      <c r="E706" t="s">
        <v>26</v>
      </c>
      <c r="F706" t="s">
        <v>35</v>
      </c>
      <c r="G706">
        <v>1326</v>
      </c>
      <c r="H706" s="3">
        <v>59.49</v>
      </c>
      <c r="I706" s="3">
        <v>56.21</v>
      </c>
      <c r="K706" t="s">
        <v>15</v>
      </c>
      <c r="L706" t="str">
        <f t="shared" ref="L706:L769" si="55">IF(OR(C706="",D706=""),"",D706-C706)</f>
        <v/>
      </c>
      <c r="M706" s="3">
        <f>Table1[[#This Row],[Quantity]]*Table1[[#This Row],[Negotiated_Price]]</f>
        <v>74534.460000000006</v>
      </c>
      <c r="N706" s="3">
        <f>Table1[[#This Row],[Quantity]]*Table1[[#This Row],[Unit_Price]]</f>
        <v>78883.740000000005</v>
      </c>
      <c r="O706" s="3">
        <f>Table1[[#This Row],[ Original_Spend ]]-Table1[[#This Row],[ Total_Spend ]]</f>
        <v>4349.2799999999988</v>
      </c>
      <c r="P706" s="2">
        <f t="shared" ref="P706:P769" si="56">IFERROR(O706/N706,0)</f>
        <v>5.5135316859976448E-2</v>
      </c>
      <c r="Q706" s="2">
        <f t="shared" ref="Q706:Q769" si="57">IFERROR(J706/G706,0)</f>
        <v>0</v>
      </c>
      <c r="R706" t="str">
        <f t="shared" si="53"/>
        <v>Pending</v>
      </c>
      <c r="S706" t="str">
        <f t="shared" si="54"/>
        <v>OK</v>
      </c>
    </row>
    <row r="707" spans="1:19" x14ac:dyDescent="0.25">
      <c r="A707" t="s">
        <v>732</v>
      </c>
      <c r="B707" t="s">
        <v>17</v>
      </c>
      <c r="C707" s="1">
        <v>45199</v>
      </c>
      <c r="D707" s="1">
        <v>45212</v>
      </c>
      <c r="E707" t="s">
        <v>21</v>
      </c>
      <c r="F707" t="s">
        <v>14</v>
      </c>
      <c r="G707">
        <v>548</v>
      </c>
      <c r="H707" s="3">
        <v>69.7</v>
      </c>
      <c r="I707" s="3">
        <v>61.87</v>
      </c>
      <c r="J707">
        <v>90</v>
      </c>
      <c r="K707" t="s">
        <v>15</v>
      </c>
      <c r="L707">
        <f t="shared" si="55"/>
        <v>13</v>
      </c>
      <c r="M707" s="3">
        <f>Table1[[#This Row],[Quantity]]*Table1[[#This Row],[Negotiated_Price]]</f>
        <v>33904.76</v>
      </c>
      <c r="N707" s="3">
        <f>Table1[[#This Row],[Quantity]]*Table1[[#This Row],[Unit_Price]]</f>
        <v>38195.599999999999</v>
      </c>
      <c r="O707" s="3">
        <f>Table1[[#This Row],[ Original_Spend ]]-Table1[[#This Row],[ Total_Spend ]]</f>
        <v>4290.8399999999965</v>
      </c>
      <c r="P707" s="2">
        <f t="shared" si="56"/>
        <v>0.11233859397417495</v>
      </c>
      <c r="Q707" s="2">
        <f t="shared" si="57"/>
        <v>0.16423357664233576</v>
      </c>
      <c r="R707" t="str">
        <f t="shared" ref="R707:R770" si="58">IF(F707&lt;&gt;"Delivered",F707,IF(D707="","Missing Delivery Date",IF(L707&lt;=10,"On Time","Late")))</f>
        <v>Cancelled</v>
      </c>
      <c r="S707" t="str">
        <f t="shared" ref="S707:S770" si="59">IF(AND(F707&lt;&gt;"Delivered",D707&lt;&gt;""),"Status-Date Conflict",IF(AND(F707="Delivered",D707=""),"Missing Delivery Date","OK"))</f>
        <v>Status-Date Conflict</v>
      </c>
    </row>
    <row r="708" spans="1:19" x14ac:dyDescent="0.25">
      <c r="A708" t="s">
        <v>733</v>
      </c>
      <c r="B708" t="s">
        <v>23</v>
      </c>
      <c r="C708" s="1">
        <v>45108</v>
      </c>
      <c r="D708" s="1">
        <v>45114</v>
      </c>
      <c r="E708" t="s">
        <v>21</v>
      </c>
      <c r="F708" t="s">
        <v>18</v>
      </c>
      <c r="G708">
        <v>803</v>
      </c>
      <c r="H708" s="3">
        <v>67.81</v>
      </c>
      <c r="I708" s="3">
        <v>61.53</v>
      </c>
      <c r="J708">
        <v>78</v>
      </c>
      <c r="K708" t="s">
        <v>15</v>
      </c>
      <c r="L708">
        <f t="shared" si="55"/>
        <v>6</v>
      </c>
      <c r="M708" s="3">
        <f>Table1[[#This Row],[Quantity]]*Table1[[#This Row],[Negotiated_Price]]</f>
        <v>49408.590000000004</v>
      </c>
      <c r="N708" s="3">
        <f>Table1[[#This Row],[Quantity]]*Table1[[#This Row],[Unit_Price]]</f>
        <v>54451.43</v>
      </c>
      <c r="O708" s="3">
        <f>Table1[[#This Row],[ Original_Spend ]]-Table1[[#This Row],[ Total_Spend ]]</f>
        <v>5042.8399999999965</v>
      </c>
      <c r="P708" s="2">
        <f t="shared" si="56"/>
        <v>9.2611709187435415E-2</v>
      </c>
      <c r="Q708" s="2">
        <f t="shared" si="57"/>
        <v>9.7135740971357409E-2</v>
      </c>
      <c r="R708" t="str">
        <f t="shared" si="58"/>
        <v>On Time</v>
      </c>
      <c r="S708" t="str">
        <f t="shared" si="59"/>
        <v>OK</v>
      </c>
    </row>
    <row r="709" spans="1:19" x14ac:dyDescent="0.25">
      <c r="A709" t="s">
        <v>734</v>
      </c>
      <c r="B709" t="s">
        <v>12</v>
      </c>
      <c r="C709" s="1">
        <v>44589</v>
      </c>
      <c r="D709" s="1">
        <v>44607</v>
      </c>
      <c r="E709" t="s">
        <v>21</v>
      </c>
      <c r="F709" t="s">
        <v>18</v>
      </c>
      <c r="G709">
        <v>84</v>
      </c>
      <c r="H709" s="3">
        <v>18.23</v>
      </c>
      <c r="I709" s="3">
        <v>15.55</v>
      </c>
      <c r="J709">
        <v>0</v>
      </c>
      <c r="K709" t="s">
        <v>15</v>
      </c>
      <c r="L709">
        <f t="shared" si="55"/>
        <v>18</v>
      </c>
      <c r="M709" s="3">
        <f>Table1[[#This Row],[Quantity]]*Table1[[#This Row],[Negotiated_Price]]</f>
        <v>1306.2</v>
      </c>
      <c r="N709" s="3">
        <f>Table1[[#This Row],[Quantity]]*Table1[[#This Row],[Unit_Price]]</f>
        <v>1531.32</v>
      </c>
      <c r="O709" s="3">
        <f>Table1[[#This Row],[ Original_Spend ]]-Table1[[#This Row],[ Total_Spend ]]</f>
        <v>225.11999999999989</v>
      </c>
      <c r="P709" s="2">
        <f t="shared" si="56"/>
        <v>0.14701042238069109</v>
      </c>
      <c r="Q709" s="2">
        <f t="shared" si="57"/>
        <v>0</v>
      </c>
      <c r="R709" t="str">
        <f t="shared" si="58"/>
        <v>Late</v>
      </c>
      <c r="S709" t="str">
        <f t="shared" si="59"/>
        <v>OK</v>
      </c>
    </row>
    <row r="710" spans="1:19" x14ac:dyDescent="0.25">
      <c r="A710" t="s">
        <v>735</v>
      </c>
      <c r="B710" t="s">
        <v>29</v>
      </c>
      <c r="C710" s="1">
        <v>44965</v>
      </c>
      <c r="D710" s="1">
        <v>44977</v>
      </c>
      <c r="E710" t="s">
        <v>24</v>
      </c>
      <c r="F710" t="s">
        <v>18</v>
      </c>
      <c r="G710">
        <v>776</v>
      </c>
      <c r="H710" s="3">
        <v>94.75</v>
      </c>
      <c r="I710" s="3">
        <v>90.89</v>
      </c>
      <c r="J710">
        <v>19</v>
      </c>
      <c r="K710" t="s">
        <v>15</v>
      </c>
      <c r="L710">
        <f t="shared" si="55"/>
        <v>12</v>
      </c>
      <c r="M710" s="3">
        <f>Table1[[#This Row],[Quantity]]*Table1[[#This Row],[Negotiated_Price]]</f>
        <v>70530.64</v>
      </c>
      <c r="N710" s="3">
        <f>Table1[[#This Row],[Quantity]]*Table1[[#This Row],[Unit_Price]]</f>
        <v>73526</v>
      </c>
      <c r="O710" s="3">
        <f>Table1[[#This Row],[ Original_Spend ]]-Table1[[#This Row],[ Total_Spend ]]</f>
        <v>2995.3600000000006</v>
      </c>
      <c r="P710" s="2">
        <f t="shared" si="56"/>
        <v>4.0738786279683387E-2</v>
      </c>
      <c r="Q710" s="2">
        <f t="shared" si="57"/>
        <v>2.4484536082474227E-2</v>
      </c>
      <c r="R710" t="str">
        <f t="shared" si="58"/>
        <v>Late</v>
      </c>
      <c r="S710" t="str">
        <f t="shared" si="59"/>
        <v>OK</v>
      </c>
    </row>
    <row r="711" spans="1:19" x14ac:dyDescent="0.25">
      <c r="A711" t="s">
        <v>736</v>
      </c>
      <c r="B711" t="s">
        <v>12</v>
      </c>
      <c r="C711" s="1">
        <v>45168</v>
      </c>
      <c r="D711" s="1">
        <v>45177</v>
      </c>
      <c r="E711" t="s">
        <v>21</v>
      </c>
      <c r="F711" t="s">
        <v>18</v>
      </c>
      <c r="G711">
        <v>898</v>
      </c>
      <c r="H711" s="3">
        <v>37.119999999999997</v>
      </c>
      <c r="I711" s="3">
        <v>35.54</v>
      </c>
      <c r="J711">
        <v>18</v>
      </c>
      <c r="K711" t="s">
        <v>27</v>
      </c>
      <c r="L711">
        <f t="shared" si="55"/>
        <v>9</v>
      </c>
      <c r="M711" s="3">
        <f>Table1[[#This Row],[Quantity]]*Table1[[#This Row],[Negotiated_Price]]</f>
        <v>31914.92</v>
      </c>
      <c r="N711" s="3">
        <f>Table1[[#This Row],[Quantity]]*Table1[[#This Row],[Unit_Price]]</f>
        <v>33333.759999999995</v>
      </c>
      <c r="O711" s="3">
        <f>Table1[[#This Row],[ Original_Spend ]]-Table1[[#This Row],[ Total_Spend ]]</f>
        <v>1418.8399999999965</v>
      </c>
      <c r="P711" s="2">
        <f t="shared" si="56"/>
        <v>4.2564655172413694E-2</v>
      </c>
      <c r="Q711" s="2">
        <f t="shared" si="57"/>
        <v>2.0044543429844099E-2</v>
      </c>
      <c r="R711" t="str">
        <f t="shared" si="58"/>
        <v>On Time</v>
      </c>
      <c r="S711" t="str">
        <f t="shared" si="59"/>
        <v>OK</v>
      </c>
    </row>
    <row r="712" spans="1:19" x14ac:dyDescent="0.25">
      <c r="A712" t="s">
        <v>737</v>
      </c>
      <c r="B712" t="s">
        <v>23</v>
      </c>
      <c r="C712" s="1">
        <v>45139</v>
      </c>
      <c r="D712" s="1">
        <v>45146</v>
      </c>
      <c r="E712" t="s">
        <v>13</v>
      </c>
      <c r="F712" t="s">
        <v>14</v>
      </c>
      <c r="G712">
        <v>139</v>
      </c>
      <c r="H712" s="3">
        <v>23.71</v>
      </c>
      <c r="I712" s="3">
        <v>20.18</v>
      </c>
      <c r="J712">
        <v>14</v>
      </c>
      <c r="K712" t="s">
        <v>15</v>
      </c>
      <c r="L712">
        <f t="shared" si="55"/>
        <v>7</v>
      </c>
      <c r="M712" s="3">
        <f>Table1[[#This Row],[Quantity]]*Table1[[#This Row],[Negotiated_Price]]</f>
        <v>2805.02</v>
      </c>
      <c r="N712" s="3">
        <f>Table1[[#This Row],[Quantity]]*Table1[[#This Row],[Unit_Price]]</f>
        <v>3295.69</v>
      </c>
      <c r="O712" s="3">
        <f>Table1[[#This Row],[ Original_Spend ]]-Table1[[#This Row],[ Total_Spend ]]</f>
        <v>490.67000000000007</v>
      </c>
      <c r="P712" s="2">
        <f t="shared" si="56"/>
        <v>0.14888232813159005</v>
      </c>
      <c r="Q712" s="2">
        <f t="shared" si="57"/>
        <v>0.10071942446043165</v>
      </c>
      <c r="R712" t="str">
        <f t="shared" si="58"/>
        <v>Cancelled</v>
      </c>
      <c r="S712" t="str">
        <f t="shared" si="59"/>
        <v>Status-Date Conflict</v>
      </c>
    </row>
    <row r="713" spans="1:19" x14ac:dyDescent="0.25">
      <c r="A713" t="s">
        <v>738</v>
      </c>
      <c r="B713" t="s">
        <v>20</v>
      </c>
      <c r="C713" s="1">
        <v>45240</v>
      </c>
      <c r="E713" t="s">
        <v>26</v>
      </c>
      <c r="F713" t="s">
        <v>18</v>
      </c>
      <c r="G713">
        <v>825</v>
      </c>
      <c r="H713" s="3">
        <v>99.89</v>
      </c>
      <c r="I713" s="3">
        <v>97.65</v>
      </c>
      <c r="J713">
        <v>30</v>
      </c>
      <c r="K713" t="s">
        <v>15</v>
      </c>
      <c r="L713" t="str">
        <f t="shared" si="55"/>
        <v/>
      </c>
      <c r="M713" s="3">
        <f>Table1[[#This Row],[Quantity]]*Table1[[#This Row],[Negotiated_Price]]</f>
        <v>80561.25</v>
      </c>
      <c r="N713" s="3">
        <f>Table1[[#This Row],[Quantity]]*Table1[[#This Row],[Unit_Price]]</f>
        <v>82409.25</v>
      </c>
      <c r="O713" s="3">
        <f>Table1[[#This Row],[ Original_Spend ]]-Table1[[#This Row],[ Total_Spend ]]</f>
        <v>1848</v>
      </c>
      <c r="P713" s="2">
        <f t="shared" si="56"/>
        <v>2.2424667133847231E-2</v>
      </c>
      <c r="Q713" s="2">
        <f t="shared" si="57"/>
        <v>3.6363636363636362E-2</v>
      </c>
      <c r="R713" t="str">
        <f t="shared" si="58"/>
        <v>Missing Delivery Date</v>
      </c>
      <c r="S713" t="str">
        <f t="shared" si="59"/>
        <v>Missing Delivery Date</v>
      </c>
    </row>
    <row r="714" spans="1:19" x14ac:dyDescent="0.25">
      <c r="A714" t="s">
        <v>739</v>
      </c>
      <c r="B714" t="s">
        <v>12</v>
      </c>
      <c r="C714" s="1">
        <v>44589</v>
      </c>
      <c r="D714" s="1">
        <v>44599</v>
      </c>
      <c r="E714" t="s">
        <v>21</v>
      </c>
      <c r="F714" t="s">
        <v>18</v>
      </c>
      <c r="G714">
        <v>654</v>
      </c>
      <c r="H714" s="3">
        <v>96.01</v>
      </c>
      <c r="I714" s="3">
        <v>90.31</v>
      </c>
      <c r="J714">
        <v>10</v>
      </c>
      <c r="K714" t="s">
        <v>15</v>
      </c>
      <c r="L714">
        <f t="shared" si="55"/>
        <v>10</v>
      </c>
      <c r="M714" s="3">
        <f>Table1[[#This Row],[Quantity]]*Table1[[#This Row],[Negotiated_Price]]</f>
        <v>59062.74</v>
      </c>
      <c r="N714" s="3">
        <f>Table1[[#This Row],[Quantity]]*Table1[[#This Row],[Unit_Price]]</f>
        <v>62790.54</v>
      </c>
      <c r="O714" s="3">
        <f>Table1[[#This Row],[ Original_Spend ]]-Table1[[#This Row],[ Total_Spend ]]</f>
        <v>3727.8000000000029</v>
      </c>
      <c r="P714" s="2">
        <f t="shared" si="56"/>
        <v>5.9368815748359588E-2</v>
      </c>
      <c r="Q714" s="2">
        <f t="shared" si="57"/>
        <v>1.5290519877675841E-2</v>
      </c>
      <c r="R714" t="str">
        <f t="shared" si="58"/>
        <v>On Time</v>
      </c>
      <c r="S714" t="str">
        <f t="shared" si="59"/>
        <v>OK</v>
      </c>
    </row>
    <row r="715" spans="1:19" x14ac:dyDescent="0.25">
      <c r="A715" t="s">
        <v>740</v>
      </c>
      <c r="B715" t="s">
        <v>20</v>
      </c>
      <c r="C715" s="1">
        <v>44647</v>
      </c>
      <c r="D715" s="1">
        <v>44657</v>
      </c>
      <c r="E715" t="s">
        <v>21</v>
      </c>
      <c r="F715" t="s">
        <v>18</v>
      </c>
      <c r="G715">
        <v>1995</v>
      </c>
      <c r="H715" s="3">
        <v>88.47</v>
      </c>
      <c r="I715" s="3">
        <v>82.65</v>
      </c>
      <c r="J715">
        <v>87</v>
      </c>
      <c r="K715" t="s">
        <v>27</v>
      </c>
      <c r="L715">
        <f t="shared" si="55"/>
        <v>10</v>
      </c>
      <c r="M715" s="3">
        <f>Table1[[#This Row],[Quantity]]*Table1[[#This Row],[Negotiated_Price]]</f>
        <v>164886.75</v>
      </c>
      <c r="N715" s="3">
        <f>Table1[[#This Row],[Quantity]]*Table1[[#This Row],[Unit_Price]]</f>
        <v>176497.65</v>
      </c>
      <c r="O715" s="3">
        <f>Table1[[#This Row],[ Original_Spend ]]-Table1[[#This Row],[ Total_Spend ]]</f>
        <v>11610.899999999994</v>
      </c>
      <c r="P715" s="2">
        <f t="shared" si="56"/>
        <v>6.5785011868429943E-2</v>
      </c>
      <c r="Q715" s="2">
        <f t="shared" si="57"/>
        <v>4.3609022556390979E-2</v>
      </c>
      <c r="R715" t="str">
        <f t="shared" si="58"/>
        <v>On Time</v>
      </c>
      <c r="S715" t="str">
        <f t="shared" si="59"/>
        <v>OK</v>
      </c>
    </row>
    <row r="716" spans="1:19" x14ac:dyDescent="0.25">
      <c r="A716" t="s">
        <v>741</v>
      </c>
      <c r="B716" t="s">
        <v>23</v>
      </c>
      <c r="C716" s="1">
        <v>45220</v>
      </c>
      <c r="D716" s="1">
        <v>45227</v>
      </c>
      <c r="E716" t="s">
        <v>21</v>
      </c>
      <c r="F716" t="s">
        <v>18</v>
      </c>
      <c r="G716">
        <v>1019</v>
      </c>
      <c r="H716" s="3">
        <v>91.56</v>
      </c>
      <c r="I716" s="3">
        <v>77.930000000000007</v>
      </c>
      <c r="J716">
        <v>111</v>
      </c>
      <c r="K716" t="s">
        <v>27</v>
      </c>
      <c r="L716">
        <f t="shared" si="55"/>
        <v>7</v>
      </c>
      <c r="M716" s="3">
        <f>Table1[[#This Row],[Quantity]]*Table1[[#This Row],[Negotiated_Price]]</f>
        <v>79410.670000000013</v>
      </c>
      <c r="N716" s="3">
        <f>Table1[[#This Row],[Quantity]]*Table1[[#This Row],[Unit_Price]]</f>
        <v>93299.64</v>
      </c>
      <c r="O716" s="3">
        <f>Table1[[#This Row],[ Original_Spend ]]-Table1[[#This Row],[ Total_Spend ]]</f>
        <v>13888.969999999987</v>
      </c>
      <c r="P716" s="2">
        <f t="shared" si="56"/>
        <v>0.14886413280908681</v>
      </c>
      <c r="Q716" s="2">
        <f t="shared" si="57"/>
        <v>0.10893032384690873</v>
      </c>
      <c r="R716" t="str">
        <f t="shared" si="58"/>
        <v>On Time</v>
      </c>
      <c r="S716" t="str">
        <f t="shared" si="59"/>
        <v>OK</v>
      </c>
    </row>
    <row r="717" spans="1:19" x14ac:dyDescent="0.25">
      <c r="A717" t="s">
        <v>742</v>
      </c>
      <c r="B717" t="s">
        <v>29</v>
      </c>
      <c r="C717" s="1">
        <v>45000</v>
      </c>
      <c r="D717" s="1">
        <v>45016</v>
      </c>
      <c r="E717" t="s">
        <v>24</v>
      </c>
      <c r="F717" t="s">
        <v>35</v>
      </c>
      <c r="G717">
        <v>1675</v>
      </c>
      <c r="H717" s="3">
        <v>73.8</v>
      </c>
      <c r="I717" s="3">
        <v>65.34</v>
      </c>
      <c r="J717">
        <v>42</v>
      </c>
      <c r="K717" t="s">
        <v>15</v>
      </c>
      <c r="L717">
        <f t="shared" si="55"/>
        <v>16</v>
      </c>
      <c r="M717" s="3">
        <f>Table1[[#This Row],[Quantity]]*Table1[[#This Row],[Negotiated_Price]]</f>
        <v>109444.5</v>
      </c>
      <c r="N717" s="3">
        <f>Table1[[#This Row],[Quantity]]*Table1[[#This Row],[Unit_Price]]</f>
        <v>123615</v>
      </c>
      <c r="O717" s="3">
        <f>Table1[[#This Row],[ Original_Spend ]]-Table1[[#This Row],[ Total_Spend ]]</f>
        <v>14170.5</v>
      </c>
      <c r="P717" s="2">
        <f t="shared" si="56"/>
        <v>0.11463414634146342</v>
      </c>
      <c r="Q717" s="2">
        <f t="shared" si="57"/>
        <v>2.5074626865671641E-2</v>
      </c>
      <c r="R717" t="str">
        <f t="shared" si="58"/>
        <v>Pending</v>
      </c>
      <c r="S717" t="str">
        <f t="shared" si="59"/>
        <v>Status-Date Conflict</v>
      </c>
    </row>
    <row r="718" spans="1:19" x14ac:dyDescent="0.25">
      <c r="A718" t="s">
        <v>743</v>
      </c>
      <c r="B718" t="s">
        <v>20</v>
      </c>
      <c r="C718" s="1">
        <v>44700</v>
      </c>
      <c r="D718" s="1">
        <v>44712</v>
      </c>
      <c r="E718" t="s">
        <v>26</v>
      </c>
      <c r="F718" t="s">
        <v>35</v>
      </c>
      <c r="G718">
        <v>1071</v>
      </c>
      <c r="H718" s="3">
        <v>60.77</v>
      </c>
      <c r="I718" s="3">
        <v>58.5</v>
      </c>
      <c r="K718" t="s">
        <v>15</v>
      </c>
      <c r="L718">
        <f t="shared" si="55"/>
        <v>12</v>
      </c>
      <c r="M718" s="3">
        <f>Table1[[#This Row],[Quantity]]*Table1[[#This Row],[Negotiated_Price]]</f>
        <v>62653.5</v>
      </c>
      <c r="N718" s="3">
        <f>Table1[[#This Row],[Quantity]]*Table1[[#This Row],[Unit_Price]]</f>
        <v>65084.670000000006</v>
      </c>
      <c r="O718" s="3">
        <f>Table1[[#This Row],[ Original_Spend ]]-Table1[[#This Row],[ Total_Spend ]]</f>
        <v>2431.1700000000055</v>
      </c>
      <c r="P718" s="2">
        <f t="shared" si="56"/>
        <v>3.7353957544841283E-2</v>
      </c>
      <c r="Q718" s="2">
        <f t="shared" si="57"/>
        <v>0</v>
      </c>
      <c r="R718" t="str">
        <f t="shared" si="58"/>
        <v>Pending</v>
      </c>
      <c r="S718" t="str">
        <f t="shared" si="59"/>
        <v>Status-Date Conflict</v>
      </c>
    </row>
    <row r="719" spans="1:19" x14ac:dyDescent="0.25">
      <c r="A719" t="s">
        <v>744</v>
      </c>
      <c r="B719" t="s">
        <v>23</v>
      </c>
      <c r="C719" s="1">
        <v>45034</v>
      </c>
      <c r="D719" s="1">
        <v>45043</v>
      </c>
      <c r="E719" t="s">
        <v>13</v>
      </c>
      <c r="F719" t="s">
        <v>18</v>
      </c>
      <c r="G719">
        <v>467</v>
      </c>
      <c r="H719" s="3">
        <v>19.170000000000002</v>
      </c>
      <c r="I719" s="3">
        <v>17.11</v>
      </c>
      <c r="J719">
        <v>49</v>
      </c>
      <c r="K719" t="s">
        <v>15</v>
      </c>
      <c r="L719">
        <f t="shared" si="55"/>
        <v>9</v>
      </c>
      <c r="M719" s="3">
        <f>Table1[[#This Row],[Quantity]]*Table1[[#This Row],[Negotiated_Price]]</f>
        <v>7990.37</v>
      </c>
      <c r="N719" s="3">
        <f>Table1[[#This Row],[Quantity]]*Table1[[#This Row],[Unit_Price]]</f>
        <v>8952.3900000000012</v>
      </c>
      <c r="O719" s="3">
        <f>Table1[[#This Row],[ Original_Spend ]]-Table1[[#This Row],[ Total_Spend ]]</f>
        <v>962.02000000000135</v>
      </c>
      <c r="P719" s="2">
        <f t="shared" si="56"/>
        <v>0.10745957224830478</v>
      </c>
      <c r="Q719" s="2">
        <f t="shared" si="57"/>
        <v>0.10492505353319058</v>
      </c>
      <c r="R719" t="str">
        <f t="shared" si="58"/>
        <v>On Time</v>
      </c>
      <c r="S719" t="str">
        <f t="shared" si="59"/>
        <v>OK</v>
      </c>
    </row>
    <row r="720" spans="1:19" x14ac:dyDescent="0.25">
      <c r="A720" t="s">
        <v>745</v>
      </c>
      <c r="B720" t="s">
        <v>17</v>
      </c>
      <c r="C720" s="1">
        <v>44748</v>
      </c>
      <c r="D720" s="1">
        <v>44767</v>
      </c>
      <c r="E720" t="s">
        <v>21</v>
      </c>
      <c r="F720" t="s">
        <v>35</v>
      </c>
      <c r="G720">
        <v>164</v>
      </c>
      <c r="H720" s="3">
        <v>48.16</v>
      </c>
      <c r="I720" s="3">
        <v>47.46</v>
      </c>
      <c r="J720">
        <v>27</v>
      </c>
      <c r="K720" t="s">
        <v>15</v>
      </c>
      <c r="L720">
        <f t="shared" si="55"/>
        <v>19</v>
      </c>
      <c r="M720" s="3">
        <f>Table1[[#This Row],[Quantity]]*Table1[[#This Row],[Negotiated_Price]]</f>
        <v>7783.4400000000005</v>
      </c>
      <c r="N720" s="3">
        <f>Table1[[#This Row],[Quantity]]*Table1[[#This Row],[Unit_Price]]</f>
        <v>7898.24</v>
      </c>
      <c r="O720" s="3">
        <f>Table1[[#This Row],[ Original_Spend ]]-Table1[[#This Row],[ Total_Spend ]]</f>
        <v>114.79999999999927</v>
      </c>
      <c r="P720" s="2">
        <f t="shared" si="56"/>
        <v>1.453488372093014E-2</v>
      </c>
      <c r="Q720" s="2">
        <f t="shared" si="57"/>
        <v>0.16463414634146342</v>
      </c>
      <c r="R720" t="str">
        <f t="shared" si="58"/>
        <v>Pending</v>
      </c>
      <c r="S720" t="str">
        <f t="shared" si="59"/>
        <v>Status-Date Conflict</v>
      </c>
    </row>
    <row r="721" spans="1:19" x14ac:dyDescent="0.25">
      <c r="A721" t="s">
        <v>746</v>
      </c>
      <c r="B721" t="s">
        <v>29</v>
      </c>
      <c r="C721" s="1">
        <v>44613</v>
      </c>
      <c r="D721" s="1">
        <v>44626</v>
      </c>
      <c r="E721" t="s">
        <v>39</v>
      </c>
      <c r="F721" t="s">
        <v>14</v>
      </c>
      <c r="G721">
        <v>666</v>
      </c>
      <c r="H721" s="3">
        <v>43.76</v>
      </c>
      <c r="I721" s="3">
        <v>41.13</v>
      </c>
      <c r="J721">
        <v>18</v>
      </c>
      <c r="K721" t="s">
        <v>15</v>
      </c>
      <c r="L721">
        <f t="shared" si="55"/>
        <v>13</v>
      </c>
      <c r="M721" s="3">
        <f>Table1[[#This Row],[Quantity]]*Table1[[#This Row],[Negotiated_Price]]</f>
        <v>27392.58</v>
      </c>
      <c r="N721" s="3">
        <f>Table1[[#This Row],[Quantity]]*Table1[[#This Row],[Unit_Price]]</f>
        <v>29144.16</v>
      </c>
      <c r="O721" s="3">
        <f>Table1[[#This Row],[ Original_Spend ]]-Table1[[#This Row],[ Total_Spend ]]</f>
        <v>1751.5799999999981</v>
      </c>
      <c r="P721" s="2">
        <f t="shared" si="56"/>
        <v>6.0100548446069407E-2</v>
      </c>
      <c r="Q721" s="2">
        <f t="shared" si="57"/>
        <v>2.7027027027027029E-2</v>
      </c>
      <c r="R721" t="str">
        <f t="shared" si="58"/>
        <v>Cancelled</v>
      </c>
      <c r="S721" t="str">
        <f t="shared" si="59"/>
        <v>Status-Date Conflict</v>
      </c>
    </row>
    <row r="722" spans="1:19" x14ac:dyDescent="0.25">
      <c r="A722" t="s">
        <v>747</v>
      </c>
      <c r="B722" t="s">
        <v>17</v>
      </c>
      <c r="C722" s="1">
        <v>44828</v>
      </c>
      <c r="D722" s="1">
        <v>44841</v>
      </c>
      <c r="E722" t="s">
        <v>24</v>
      </c>
      <c r="F722" t="s">
        <v>33</v>
      </c>
      <c r="G722">
        <v>1976</v>
      </c>
      <c r="H722" s="3">
        <v>34.71</v>
      </c>
      <c r="I722" s="3">
        <v>31.56</v>
      </c>
      <c r="J722">
        <v>286</v>
      </c>
      <c r="K722" t="s">
        <v>27</v>
      </c>
      <c r="L722">
        <f t="shared" si="55"/>
        <v>13</v>
      </c>
      <c r="M722" s="3">
        <f>Table1[[#This Row],[Quantity]]*Table1[[#This Row],[Negotiated_Price]]</f>
        <v>62362.559999999998</v>
      </c>
      <c r="N722" s="3">
        <f>Table1[[#This Row],[Quantity]]*Table1[[#This Row],[Unit_Price]]</f>
        <v>68586.960000000006</v>
      </c>
      <c r="O722" s="3">
        <f>Table1[[#This Row],[ Original_Spend ]]-Table1[[#This Row],[ Total_Spend ]]</f>
        <v>6224.4000000000087</v>
      </c>
      <c r="P722" s="2">
        <f t="shared" si="56"/>
        <v>9.0751944684529073E-2</v>
      </c>
      <c r="Q722" s="2">
        <f t="shared" si="57"/>
        <v>0.14473684210526316</v>
      </c>
      <c r="R722" t="str">
        <f t="shared" si="58"/>
        <v>Partially Delivered</v>
      </c>
      <c r="S722" t="str">
        <f t="shared" si="59"/>
        <v>Status-Date Conflict</v>
      </c>
    </row>
    <row r="723" spans="1:19" x14ac:dyDescent="0.25">
      <c r="A723" t="s">
        <v>748</v>
      </c>
      <c r="B723" t="s">
        <v>29</v>
      </c>
      <c r="C723" s="1">
        <v>44950</v>
      </c>
      <c r="D723" s="1">
        <v>44955</v>
      </c>
      <c r="E723" t="s">
        <v>21</v>
      </c>
      <c r="F723" t="s">
        <v>18</v>
      </c>
      <c r="G723">
        <v>1269</v>
      </c>
      <c r="H723" s="3">
        <v>79.61</v>
      </c>
      <c r="I723" s="3">
        <v>71.86</v>
      </c>
      <c r="J723">
        <v>47</v>
      </c>
      <c r="K723" t="s">
        <v>15</v>
      </c>
      <c r="L723">
        <f t="shared" si="55"/>
        <v>5</v>
      </c>
      <c r="M723" s="3">
        <f>Table1[[#This Row],[Quantity]]*Table1[[#This Row],[Negotiated_Price]]</f>
        <v>91190.34</v>
      </c>
      <c r="N723" s="3">
        <f>Table1[[#This Row],[Quantity]]*Table1[[#This Row],[Unit_Price]]</f>
        <v>101025.09</v>
      </c>
      <c r="O723" s="3">
        <f>Table1[[#This Row],[ Original_Spend ]]-Table1[[#This Row],[ Total_Spend ]]</f>
        <v>9834.75</v>
      </c>
      <c r="P723" s="2">
        <f t="shared" si="56"/>
        <v>9.7349579198593147E-2</v>
      </c>
      <c r="Q723" s="2">
        <f t="shared" si="57"/>
        <v>3.7037037037037035E-2</v>
      </c>
      <c r="R723" t="str">
        <f t="shared" si="58"/>
        <v>On Time</v>
      </c>
      <c r="S723" t="str">
        <f t="shared" si="59"/>
        <v>OK</v>
      </c>
    </row>
    <row r="724" spans="1:19" x14ac:dyDescent="0.25">
      <c r="A724" t="s">
        <v>749</v>
      </c>
      <c r="B724" t="s">
        <v>29</v>
      </c>
      <c r="C724" s="1">
        <v>44897</v>
      </c>
      <c r="D724" s="1">
        <v>44907</v>
      </c>
      <c r="E724" t="s">
        <v>21</v>
      </c>
      <c r="F724" t="s">
        <v>18</v>
      </c>
      <c r="G724">
        <v>875</v>
      </c>
      <c r="H724" s="3">
        <v>57.63</v>
      </c>
      <c r="I724" s="3">
        <v>51.8</v>
      </c>
      <c r="J724">
        <v>16</v>
      </c>
      <c r="K724" t="s">
        <v>15</v>
      </c>
      <c r="L724">
        <f t="shared" si="55"/>
        <v>10</v>
      </c>
      <c r="M724" s="3">
        <f>Table1[[#This Row],[Quantity]]*Table1[[#This Row],[Negotiated_Price]]</f>
        <v>45325</v>
      </c>
      <c r="N724" s="3">
        <f>Table1[[#This Row],[Quantity]]*Table1[[#This Row],[Unit_Price]]</f>
        <v>50426.25</v>
      </c>
      <c r="O724" s="3">
        <f>Table1[[#This Row],[ Original_Spend ]]-Table1[[#This Row],[ Total_Spend ]]</f>
        <v>5101.25</v>
      </c>
      <c r="P724" s="2">
        <f t="shared" si="56"/>
        <v>0.10116258892937706</v>
      </c>
      <c r="Q724" s="2">
        <f t="shared" si="57"/>
        <v>1.8285714285714287E-2</v>
      </c>
      <c r="R724" t="str">
        <f t="shared" si="58"/>
        <v>On Time</v>
      </c>
      <c r="S724" t="str">
        <f t="shared" si="59"/>
        <v>OK</v>
      </c>
    </row>
    <row r="725" spans="1:19" x14ac:dyDescent="0.25">
      <c r="A725" t="s">
        <v>750</v>
      </c>
      <c r="B725" t="s">
        <v>12</v>
      </c>
      <c r="C725" s="1">
        <v>44778</v>
      </c>
      <c r="E725" t="s">
        <v>24</v>
      </c>
      <c r="F725" t="s">
        <v>33</v>
      </c>
      <c r="G725">
        <v>1574</v>
      </c>
      <c r="H725" s="3">
        <v>17.899999999999999</v>
      </c>
      <c r="I725" s="3">
        <v>15.85</v>
      </c>
      <c r="J725">
        <v>31</v>
      </c>
      <c r="K725" t="s">
        <v>15</v>
      </c>
      <c r="L725" t="str">
        <f t="shared" si="55"/>
        <v/>
      </c>
      <c r="M725" s="3">
        <f>Table1[[#This Row],[Quantity]]*Table1[[#This Row],[Negotiated_Price]]</f>
        <v>24947.899999999998</v>
      </c>
      <c r="N725" s="3">
        <f>Table1[[#This Row],[Quantity]]*Table1[[#This Row],[Unit_Price]]</f>
        <v>28174.6</v>
      </c>
      <c r="O725" s="3">
        <f>Table1[[#This Row],[ Original_Spend ]]-Table1[[#This Row],[ Total_Spend ]]</f>
        <v>3226.7000000000007</v>
      </c>
      <c r="P725" s="2">
        <f t="shared" si="56"/>
        <v>0.1145251396648045</v>
      </c>
      <c r="Q725" s="2">
        <f t="shared" si="57"/>
        <v>1.9695044472681066E-2</v>
      </c>
      <c r="R725" t="str">
        <f t="shared" si="58"/>
        <v>Partially Delivered</v>
      </c>
      <c r="S725" t="str">
        <f t="shared" si="59"/>
        <v>OK</v>
      </c>
    </row>
    <row r="726" spans="1:19" x14ac:dyDescent="0.25">
      <c r="A726" t="s">
        <v>751</v>
      </c>
      <c r="B726" t="s">
        <v>29</v>
      </c>
      <c r="C726" s="1">
        <v>45027</v>
      </c>
      <c r="D726" s="1">
        <v>45042</v>
      </c>
      <c r="E726" t="s">
        <v>13</v>
      </c>
      <c r="F726" t="s">
        <v>33</v>
      </c>
      <c r="G726">
        <v>1699</v>
      </c>
      <c r="H726" s="3">
        <v>32.049999999999997</v>
      </c>
      <c r="I726" s="3">
        <v>29.34</v>
      </c>
      <c r="J726">
        <v>69</v>
      </c>
      <c r="K726" t="s">
        <v>15</v>
      </c>
      <c r="L726">
        <f t="shared" si="55"/>
        <v>15</v>
      </c>
      <c r="M726" s="3">
        <f>Table1[[#This Row],[Quantity]]*Table1[[#This Row],[Negotiated_Price]]</f>
        <v>49848.659999999996</v>
      </c>
      <c r="N726" s="3">
        <f>Table1[[#This Row],[Quantity]]*Table1[[#This Row],[Unit_Price]]</f>
        <v>54452.95</v>
      </c>
      <c r="O726" s="3">
        <f>Table1[[#This Row],[ Original_Spend ]]-Table1[[#This Row],[ Total_Spend ]]</f>
        <v>4604.2900000000009</v>
      </c>
      <c r="P726" s="2">
        <f t="shared" si="56"/>
        <v>8.4555382215288633E-2</v>
      </c>
      <c r="Q726" s="2">
        <f t="shared" si="57"/>
        <v>4.061212477928193E-2</v>
      </c>
      <c r="R726" t="str">
        <f t="shared" si="58"/>
        <v>Partially Delivered</v>
      </c>
      <c r="S726" t="str">
        <f t="shared" si="59"/>
        <v>Status-Date Conflict</v>
      </c>
    </row>
    <row r="727" spans="1:19" x14ac:dyDescent="0.25">
      <c r="A727" t="s">
        <v>752</v>
      </c>
      <c r="B727" t="s">
        <v>12</v>
      </c>
      <c r="C727" s="1">
        <v>44896</v>
      </c>
      <c r="D727" s="1">
        <v>44912</v>
      </c>
      <c r="E727" t="s">
        <v>39</v>
      </c>
      <c r="F727" t="s">
        <v>18</v>
      </c>
      <c r="G727">
        <v>1566</v>
      </c>
      <c r="H727" s="3">
        <v>75.430000000000007</v>
      </c>
      <c r="I727" s="3">
        <v>71.27</v>
      </c>
      <c r="J727">
        <v>27</v>
      </c>
      <c r="K727" t="s">
        <v>15</v>
      </c>
      <c r="L727">
        <f t="shared" si="55"/>
        <v>16</v>
      </c>
      <c r="M727" s="3">
        <f>Table1[[#This Row],[Quantity]]*Table1[[#This Row],[Negotiated_Price]]</f>
        <v>111608.81999999999</v>
      </c>
      <c r="N727" s="3">
        <f>Table1[[#This Row],[Quantity]]*Table1[[#This Row],[Unit_Price]]</f>
        <v>118123.38</v>
      </c>
      <c r="O727" s="3">
        <f>Table1[[#This Row],[ Original_Spend ]]-Table1[[#This Row],[ Total_Spend ]]</f>
        <v>6514.5600000000122</v>
      </c>
      <c r="P727" s="2">
        <f t="shared" si="56"/>
        <v>5.5150470635025955E-2</v>
      </c>
      <c r="Q727" s="2">
        <f t="shared" si="57"/>
        <v>1.7241379310344827E-2</v>
      </c>
      <c r="R727" t="str">
        <f t="shared" si="58"/>
        <v>Late</v>
      </c>
      <c r="S727" t="str">
        <f t="shared" si="59"/>
        <v>OK</v>
      </c>
    </row>
    <row r="728" spans="1:19" x14ac:dyDescent="0.25">
      <c r="A728" t="s">
        <v>753</v>
      </c>
      <c r="B728" t="s">
        <v>20</v>
      </c>
      <c r="C728" s="1">
        <v>44907</v>
      </c>
      <c r="D728" s="1">
        <v>44925</v>
      </c>
      <c r="E728" t="s">
        <v>39</v>
      </c>
      <c r="F728" t="s">
        <v>18</v>
      </c>
      <c r="G728">
        <v>1148</v>
      </c>
      <c r="H728" s="3">
        <v>17.78</v>
      </c>
      <c r="I728" s="3">
        <v>17.16</v>
      </c>
      <c r="J728">
        <v>61</v>
      </c>
      <c r="K728" t="s">
        <v>15</v>
      </c>
      <c r="L728">
        <f t="shared" si="55"/>
        <v>18</v>
      </c>
      <c r="M728" s="3">
        <f>Table1[[#This Row],[Quantity]]*Table1[[#This Row],[Negotiated_Price]]</f>
        <v>19699.68</v>
      </c>
      <c r="N728" s="3">
        <f>Table1[[#This Row],[Quantity]]*Table1[[#This Row],[Unit_Price]]</f>
        <v>20411.440000000002</v>
      </c>
      <c r="O728" s="3">
        <f>Table1[[#This Row],[ Original_Spend ]]-Table1[[#This Row],[ Total_Spend ]]</f>
        <v>711.76000000000204</v>
      </c>
      <c r="P728" s="2">
        <f t="shared" si="56"/>
        <v>3.4870641169853861E-2</v>
      </c>
      <c r="Q728" s="2">
        <f t="shared" si="57"/>
        <v>5.3135888501742161E-2</v>
      </c>
      <c r="R728" t="str">
        <f t="shared" si="58"/>
        <v>Late</v>
      </c>
      <c r="S728" t="str">
        <f t="shared" si="59"/>
        <v>OK</v>
      </c>
    </row>
    <row r="729" spans="1:19" x14ac:dyDescent="0.25">
      <c r="A729" t="s">
        <v>754</v>
      </c>
      <c r="B729" t="s">
        <v>29</v>
      </c>
      <c r="C729" s="1">
        <v>44950</v>
      </c>
      <c r="D729" s="1">
        <v>44968</v>
      </c>
      <c r="E729" t="s">
        <v>13</v>
      </c>
      <c r="F729" t="s">
        <v>18</v>
      </c>
      <c r="G729">
        <v>462</v>
      </c>
      <c r="H729" s="3">
        <v>91.81</v>
      </c>
      <c r="I729" s="3">
        <v>83.14</v>
      </c>
      <c r="J729">
        <v>11</v>
      </c>
      <c r="K729" t="s">
        <v>15</v>
      </c>
      <c r="L729">
        <f t="shared" si="55"/>
        <v>18</v>
      </c>
      <c r="M729" s="3">
        <f>Table1[[#This Row],[Quantity]]*Table1[[#This Row],[Negotiated_Price]]</f>
        <v>38410.68</v>
      </c>
      <c r="N729" s="3">
        <f>Table1[[#This Row],[Quantity]]*Table1[[#This Row],[Unit_Price]]</f>
        <v>42416.22</v>
      </c>
      <c r="O729" s="3">
        <f>Table1[[#This Row],[ Original_Spend ]]-Table1[[#This Row],[ Total_Spend ]]</f>
        <v>4005.5400000000009</v>
      </c>
      <c r="P729" s="2">
        <f t="shared" si="56"/>
        <v>9.4434157499183116E-2</v>
      </c>
      <c r="Q729" s="2">
        <f t="shared" si="57"/>
        <v>2.3809523809523808E-2</v>
      </c>
      <c r="R729" t="str">
        <f t="shared" si="58"/>
        <v>Late</v>
      </c>
      <c r="S729" t="str">
        <f t="shared" si="59"/>
        <v>OK</v>
      </c>
    </row>
    <row r="730" spans="1:19" x14ac:dyDescent="0.25">
      <c r="A730" t="s">
        <v>755</v>
      </c>
      <c r="B730" t="s">
        <v>20</v>
      </c>
      <c r="C730" s="1">
        <v>44846</v>
      </c>
      <c r="D730" s="1">
        <v>44851</v>
      </c>
      <c r="E730" t="s">
        <v>24</v>
      </c>
      <c r="F730" t="s">
        <v>18</v>
      </c>
      <c r="G730">
        <v>1449</v>
      </c>
      <c r="H730" s="3">
        <v>57.02</v>
      </c>
      <c r="I730" s="3">
        <v>49.28</v>
      </c>
      <c r="J730">
        <v>71</v>
      </c>
      <c r="K730" t="s">
        <v>15</v>
      </c>
      <c r="L730">
        <f t="shared" si="55"/>
        <v>5</v>
      </c>
      <c r="M730" s="3">
        <f>Table1[[#This Row],[Quantity]]*Table1[[#This Row],[Negotiated_Price]]</f>
        <v>71406.720000000001</v>
      </c>
      <c r="N730" s="3">
        <f>Table1[[#This Row],[Quantity]]*Table1[[#This Row],[Unit_Price]]</f>
        <v>82621.98000000001</v>
      </c>
      <c r="O730" s="3">
        <f>Table1[[#This Row],[ Original_Spend ]]-Table1[[#This Row],[ Total_Spend ]]</f>
        <v>11215.260000000009</v>
      </c>
      <c r="P730" s="2">
        <f t="shared" si="56"/>
        <v>0.13574184496667846</v>
      </c>
      <c r="Q730" s="2">
        <f t="shared" si="57"/>
        <v>4.8999309868875088E-2</v>
      </c>
      <c r="R730" t="str">
        <f t="shared" si="58"/>
        <v>On Time</v>
      </c>
      <c r="S730" t="str">
        <f t="shared" si="59"/>
        <v>OK</v>
      </c>
    </row>
    <row r="731" spans="1:19" x14ac:dyDescent="0.25">
      <c r="A731" t="s">
        <v>756</v>
      </c>
      <c r="B731" t="s">
        <v>29</v>
      </c>
      <c r="C731" s="1">
        <v>44993</v>
      </c>
      <c r="D731" s="1">
        <v>45012</v>
      </c>
      <c r="E731" t="s">
        <v>21</v>
      </c>
      <c r="F731" t="s">
        <v>18</v>
      </c>
      <c r="G731">
        <v>1493</v>
      </c>
      <c r="H731" s="3">
        <v>56.98</v>
      </c>
      <c r="I731" s="3">
        <v>52.51</v>
      </c>
      <c r="J731">
        <v>43</v>
      </c>
      <c r="K731" t="s">
        <v>15</v>
      </c>
      <c r="L731">
        <f t="shared" si="55"/>
        <v>19</v>
      </c>
      <c r="M731" s="3">
        <f>Table1[[#This Row],[Quantity]]*Table1[[#This Row],[Negotiated_Price]]</f>
        <v>78397.429999999993</v>
      </c>
      <c r="N731" s="3">
        <f>Table1[[#This Row],[Quantity]]*Table1[[#This Row],[Unit_Price]]</f>
        <v>85071.14</v>
      </c>
      <c r="O731" s="3">
        <f>Table1[[#This Row],[ Original_Spend ]]-Table1[[#This Row],[ Total_Spend ]]</f>
        <v>6673.7100000000064</v>
      </c>
      <c r="P731" s="2">
        <f t="shared" si="56"/>
        <v>7.8448578448578526E-2</v>
      </c>
      <c r="Q731" s="2">
        <f t="shared" si="57"/>
        <v>2.8801071667782986E-2</v>
      </c>
      <c r="R731" t="str">
        <f t="shared" si="58"/>
        <v>Late</v>
      </c>
      <c r="S731" t="str">
        <f t="shared" si="59"/>
        <v>OK</v>
      </c>
    </row>
    <row r="732" spans="1:19" x14ac:dyDescent="0.25">
      <c r="A732" t="s">
        <v>757</v>
      </c>
      <c r="B732" t="s">
        <v>12</v>
      </c>
      <c r="C732" s="1">
        <v>44820</v>
      </c>
      <c r="D732" s="1">
        <v>44822</v>
      </c>
      <c r="E732" t="s">
        <v>13</v>
      </c>
      <c r="F732" t="s">
        <v>18</v>
      </c>
      <c r="G732">
        <v>778</v>
      </c>
      <c r="H732" s="3">
        <v>65.849999999999994</v>
      </c>
      <c r="I732" s="3">
        <v>62.08</v>
      </c>
      <c r="K732" t="s">
        <v>27</v>
      </c>
      <c r="L732">
        <f t="shared" si="55"/>
        <v>2</v>
      </c>
      <c r="M732" s="3">
        <f>Table1[[#This Row],[Quantity]]*Table1[[#This Row],[Negotiated_Price]]</f>
        <v>48298.239999999998</v>
      </c>
      <c r="N732" s="3">
        <f>Table1[[#This Row],[Quantity]]*Table1[[#This Row],[Unit_Price]]</f>
        <v>51231.299999999996</v>
      </c>
      <c r="O732" s="3">
        <f>Table1[[#This Row],[ Original_Spend ]]-Table1[[#This Row],[ Total_Spend ]]</f>
        <v>2933.0599999999977</v>
      </c>
      <c r="P732" s="2">
        <f t="shared" si="56"/>
        <v>5.7251328777524639E-2</v>
      </c>
      <c r="Q732" s="2">
        <f t="shared" si="57"/>
        <v>0</v>
      </c>
      <c r="R732" t="str">
        <f t="shared" si="58"/>
        <v>On Time</v>
      </c>
      <c r="S732" t="str">
        <f t="shared" si="59"/>
        <v>OK</v>
      </c>
    </row>
    <row r="733" spans="1:19" x14ac:dyDescent="0.25">
      <c r="A733" t="s">
        <v>758</v>
      </c>
      <c r="B733" t="s">
        <v>17</v>
      </c>
      <c r="C733" s="1">
        <v>44645</v>
      </c>
      <c r="D733" s="1">
        <v>44662</v>
      </c>
      <c r="E733" t="s">
        <v>24</v>
      </c>
      <c r="F733" t="s">
        <v>33</v>
      </c>
      <c r="G733">
        <v>1350</v>
      </c>
      <c r="H733" s="3">
        <v>85.06</v>
      </c>
      <c r="I733" s="3">
        <v>82.34</v>
      </c>
      <c r="K733" t="s">
        <v>27</v>
      </c>
      <c r="L733">
        <f t="shared" si="55"/>
        <v>17</v>
      </c>
      <c r="M733" s="3">
        <f>Table1[[#This Row],[Quantity]]*Table1[[#This Row],[Negotiated_Price]]</f>
        <v>111159</v>
      </c>
      <c r="N733" s="3">
        <f>Table1[[#This Row],[Quantity]]*Table1[[#This Row],[Unit_Price]]</f>
        <v>114831</v>
      </c>
      <c r="O733" s="3">
        <f>Table1[[#This Row],[ Original_Spend ]]-Table1[[#This Row],[ Total_Spend ]]</f>
        <v>3672</v>
      </c>
      <c r="P733" s="2">
        <f t="shared" si="56"/>
        <v>3.1977427698095459E-2</v>
      </c>
      <c r="Q733" s="2">
        <f t="shared" si="57"/>
        <v>0</v>
      </c>
      <c r="R733" t="str">
        <f t="shared" si="58"/>
        <v>Partially Delivered</v>
      </c>
      <c r="S733" t="str">
        <f t="shared" si="59"/>
        <v>Status-Date Conflict</v>
      </c>
    </row>
    <row r="734" spans="1:19" x14ac:dyDescent="0.25">
      <c r="A734" t="s">
        <v>759</v>
      </c>
      <c r="B734" t="s">
        <v>29</v>
      </c>
      <c r="C734" s="1">
        <v>45043</v>
      </c>
      <c r="D734" s="1">
        <v>45051</v>
      </c>
      <c r="E734" t="s">
        <v>24</v>
      </c>
      <c r="F734" t="s">
        <v>18</v>
      </c>
      <c r="G734">
        <v>1070</v>
      </c>
      <c r="H734" s="3">
        <v>44.4</v>
      </c>
      <c r="I734" s="3">
        <v>40.07</v>
      </c>
      <c r="J734">
        <v>26</v>
      </c>
      <c r="K734" t="s">
        <v>15</v>
      </c>
      <c r="L734">
        <f t="shared" si="55"/>
        <v>8</v>
      </c>
      <c r="M734" s="3">
        <f>Table1[[#This Row],[Quantity]]*Table1[[#This Row],[Negotiated_Price]]</f>
        <v>42874.9</v>
      </c>
      <c r="N734" s="3">
        <f>Table1[[#This Row],[Quantity]]*Table1[[#This Row],[Unit_Price]]</f>
        <v>47508</v>
      </c>
      <c r="O734" s="3">
        <f>Table1[[#This Row],[ Original_Spend ]]-Table1[[#This Row],[ Total_Spend ]]</f>
        <v>4633.0999999999985</v>
      </c>
      <c r="P734" s="2">
        <f t="shared" si="56"/>
        <v>9.7522522522522498E-2</v>
      </c>
      <c r="Q734" s="2">
        <f t="shared" si="57"/>
        <v>2.4299065420560748E-2</v>
      </c>
      <c r="R734" t="str">
        <f t="shared" si="58"/>
        <v>On Time</v>
      </c>
      <c r="S734" t="str">
        <f t="shared" si="59"/>
        <v>OK</v>
      </c>
    </row>
    <row r="735" spans="1:19" x14ac:dyDescent="0.25">
      <c r="A735" t="s">
        <v>760</v>
      </c>
      <c r="B735" t="s">
        <v>23</v>
      </c>
      <c r="C735" s="1">
        <v>44581</v>
      </c>
      <c r="D735" s="1">
        <v>44595</v>
      </c>
      <c r="E735" t="s">
        <v>24</v>
      </c>
      <c r="F735" t="s">
        <v>35</v>
      </c>
      <c r="G735">
        <v>810</v>
      </c>
      <c r="H735" s="3">
        <v>71.02</v>
      </c>
      <c r="I735" s="3">
        <v>66.8</v>
      </c>
      <c r="J735">
        <v>73</v>
      </c>
      <c r="K735" t="s">
        <v>15</v>
      </c>
      <c r="L735">
        <f t="shared" si="55"/>
        <v>14</v>
      </c>
      <c r="M735" s="3">
        <f>Table1[[#This Row],[Quantity]]*Table1[[#This Row],[Negotiated_Price]]</f>
        <v>54108</v>
      </c>
      <c r="N735" s="3">
        <f>Table1[[#This Row],[Quantity]]*Table1[[#This Row],[Unit_Price]]</f>
        <v>57526.2</v>
      </c>
      <c r="O735" s="3">
        <f>Table1[[#This Row],[ Original_Spend ]]-Table1[[#This Row],[ Total_Spend ]]</f>
        <v>3418.1999999999971</v>
      </c>
      <c r="P735" s="2">
        <f t="shared" si="56"/>
        <v>5.9419881723458134E-2</v>
      </c>
      <c r="Q735" s="2">
        <f t="shared" si="57"/>
        <v>9.0123456790123457E-2</v>
      </c>
      <c r="R735" t="str">
        <f t="shared" si="58"/>
        <v>Pending</v>
      </c>
      <c r="S735" t="str">
        <f t="shared" si="59"/>
        <v>Status-Date Conflict</v>
      </c>
    </row>
    <row r="736" spans="1:19" x14ac:dyDescent="0.25">
      <c r="A736" t="s">
        <v>761</v>
      </c>
      <c r="B736" t="s">
        <v>17</v>
      </c>
      <c r="C736" s="1">
        <v>45114</v>
      </c>
      <c r="D736" s="1">
        <v>45130</v>
      </c>
      <c r="E736" t="s">
        <v>24</v>
      </c>
      <c r="F736" t="s">
        <v>14</v>
      </c>
      <c r="G736">
        <v>725</v>
      </c>
      <c r="H736" s="3">
        <v>66.400000000000006</v>
      </c>
      <c r="I736" s="3">
        <v>62.1</v>
      </c>
      <c r="J736">
        <v>118</v>
      </c>
      <c r="K736" t="s">
        <v>15</v>
      </c>
      <c r="L736">
        <f t="shared" si="55"/>
        <v>16</v>
      </c>
      <c r="M736" s="3">
        <f>Table1[[#This Row],[Quantity]]*Table1[[#This Row],[Negotiated_Price]]</f>
        <v>45022.5</v>
      </c>
      <c r="N736" s="3">
        <f>Table1[[#This Row],[Quantity]]*Table1[[#This Row],[Unit_Price]]</f>
        <v>48140.000000000007</v>
      </c>
      <c r="O736" s="3">
        <f>Table1[[#This Row],[ Original_Spend ]]-Table1[[#This Row],[ Total_Spend ]]</f>
        <v>3117.5000000000073</v>
      </c>
      <c r="P736" s="2">
        <f t="shared" si="56"/>
        <v>6.4759036144578452E-2</v>
      </c>
      <c r="Q736" s="2">
        <f t="shared" si="57"/>
        <v>0.16275862068965516</v>
      </c>
      <c r="R736" t="str">
        <f t="shared" si="58"/>
        <v>Cancelled</v>
      </c>
      <c r="S736" t="str">
        <f t="shared" si="59"/>
        <v>Status-Date Conflict</v>
      </c>
    </row>
    <row r="737" spans="1:19" x14ac:dyDescent="0.25">
      <c r="A737" t="s">
        <v>762</v>
      </c>
      <c r="B737" t="s">
        <v>12</v>
      </c>
      <c r="C737" s="1">
        <v>44615</v>
      </c>
      <c r="D737" s="1">
        <v>44620</v>
      </c>
      <c r="E737" t="s">
        <v>39</v>
      </c>
      <c r="F737" t="s">
        <v>18</v>
      </c>
      <c r="G737">
        <v>1467</v>
      </c>
      <c r="H737" s="3">
        <v>34.200000000000003</v>
      </c>
      <c r="I737" s="3">
        <v>30.5</v>
      </c>
      <c r="J737">
        <v>25</v>
      </c>
      <c r="K737" t="s">
        <v>15</v>
      </c>
      <c r="L737">
        <f t="shared" si="55"/>
        <v>5</v>
      </c>
      <c r="M737" s="3">
        <f>Table1[[#This Row],[Quantity]]*Table1[[#This Row],[Negotiated_Price]]</f>
        <v>44743.5</v>
      </c>
      <c r="N737" s="3">
        <f>Table1[[#This Row],[Quantity]]*Table1[[#This Row],[Unit_Price]]</f>
        <v>50171.4</v>
      </c>
      <c r="O737" s="3">
        <f>Table1[[#This Row],[ Original_Spend ]]-Table1[[#This Row],[ Total_Spend ]]</f>
        <v>5427.9000000000015</v>
      </c>
      <c r="P737" s="2">
        <f t="shared" si="56"/>
        <v>0.108187134502924</v>
      </c>
      <c r="Q737" s="2">
        <f t="shared" si="57"/>
        <v>1.7041581458759374E-2</v>
      </c>
      <c r="R737" t="str">
        <f t="shared" si="58"/>
        <v>On Time</v>
      </c>
      <c r="S737" t="str">
        <f t="shared" si="59"/>
        <v>OK</v>
      </c>
    </row>
    <row r="738" spans="1:19" x14ac:dyDescent="0.25">
      <c r="A738" t="s">
        <v>763</v>
      </c>
      <c r="B738" t="s">
        <v>23</v>
      </c>
      <c r="C738" s="1">
        <v>44920</v>
      </c>
      <c r="D738" s="1">
        <v>44938</v>
      </c>
      <c r="E738" t="s">
        <v>24</v>
      </c>
      <c r="F738" t="s">
        <v>18</v>
      </c>
      <c r="G738">
        <v>1942</v>
      </c>
      <c r="H738" s="3">
        <v>93.98</v>
      </c>
      <c r="I738" s="3">
        <v>81.31</v>
      </c>
      <c r="J738">
        <v>198</v>
      </c>
      <c r="K738" t="s">
        <v>15</v>
      </c>
      <c r="L738">
        <f t="shared" si="55"/>
        <v>18</v>
      </c>
      <c r="M738" s="3">
        <f>Table1[[#This Row],[Quantity]]*Table1[[#This Row],[Negotiated_Price]]</f>
        <v>157904.02000000002</v>
      </c>
      <c r="N738" s="3">
        <f>Table1[[#This Row],[Quantity]]*Table1[[#This Row],[Unit_Price]]</f>
        <v>182509.16</v>
      </c>
      <c r="O738" s="3">
        <f>Table1[[#This Row],[ Original_Spend ]]-Table1[[#This Row],[ Total_Spend ]]</f>
        <v>24605.139999999985</v>
      </c>
      <c r="P738" s="2">
        <f t="shared" si="56"/>
        <v>0.13481591828048511</v>
      </c>
      <c r="Q738" s="2">
        <f t="shared" si="57"/>
        <v>0.101956745623069</v>
      </c>
      <c r="R738" t="str">
        <f t="shared" si="58"/>
        <v>Late</v>
      </c>
      <c r="S738" t="str">
        <f t="shared" si="59"/>
        <v>OK</v>
      </c>
    </row>
    <row r="739" spans="1:19" x14ac:dyDescent="0.25">
      <c r="A739" t="s">
        <v>764</v>
      </c>
      <c r="B739" t="s">
        <v>20</v>
      </c>
      <c r="C739" s="1">
        <v>44791</v>
      </c>
      <c r="E739" t="s">
        <v>13</v>
      </c>
      <c r="F739" t="s">
        <v>18</v>
      </c>
      <c r="G739">
        <v>506</v>
      </c>
      <c r="H739" s="3">
        <v>84.63</v>
      </c>
      <c r="I739" s="3">
        <v>72.69</v>
      </c>
      <c r="J739">
        <v>20</v>
      </c>
      <c r="K739" t="s">
        <v>15</v>
      </c>
      <c r="L739" t="str">
        <f t="shared" si="55"/>
        <v/>
      </c>
      <c r="M739" s="3">
        <f>Table1[[#This Row],[Quantity]]*Table1[[#This Row],[Negotiated_Price]]</f>
        <v>36781.14</v>
      </c>
      <c r="N739" s="3">
        <f>Table1[[#This Row],[Quantity]]*Table1[[#This Row],[Unit_Price]]</f>
        <v>42822.78</v>
      </c>
      <c r="O739" s="3">
        <f>Table1[[#This Row],[ Original_Spend ]]-Table1[[#This Row],[ Total_Spend ]]</f>
        <v>6041.6399999999994</v>
      </c>
      <c r="P739" s="2">
        <f t="shared" si="56"/>
        <v>0.14108472172988301</v>
      </c>
      <c r="Q739" s="2">
        <f t="shared" si="57"/>
        <v>3.9525691699604744E-2</v>
      </c>
      <c r="R739" t="str">
        <f t="shared" si="58"/>
        <v>Missing Delivery Date</v>
      </c>
      <c r="S739" t="str">
        <f t="shared" si="59"/>
        <v>Missing Delivery Date</v>
      </c>
    </row>
    <row r="740" spans="1:19" x14ac:dyDescent="0.25">
      <c r="A740" t="s">
        <v>765</v>
      </c>
      <c r="B740" t="s">
        <v>12</v>
      </c>
      <c r="C740" s="1">
        <v>45227</v>
      </c>
      <c r="D740" s="1">
        <v>45243</v>
      </c>
      <c r="E740" t="s">
        <v>21</v>
      </c>
      <c r="F740" t="s">
        <v>18</v>
      </c>
      <c r="G740">
        <v>969</v>
      </c>
      <c r="H740" s="3">
        <v>76.53</v>
      </c>
      <c r="I740" s="3">
        <v>75.64</v>
      </c>
      <c r="J740">
        <v>30</v>
      </c>
      <c r="K740" t="s">
        <v>15</v>
      </c>
      <c r="L740">
        <f t="shared" si="55"/>
        <v>16</v>
      </c>
      <c r="M740" s="3">
        <f>Table1[[#This Row],[Quantity]]*Table1[[#This Row],[Negotiated_Price]]</f>
        <v>73295.16</v>
      </c>
      <c r="N740" s="3">
        <f>Table1[[#This Row],[Quantity]]*Table1[[#This Row],[Unit_Price]]</f>
        <v>74157.570000000007</v>
      </c>
      <c r="O740" s="3">
        <f>Table1[[#This Row],[ Original_Spend ]]-Table1[[#This Row],[ Total_Spend ]]</f>
        <v>862.41000000000349</v>
      </c>
      <c r="P740" s="2">
        <f t="shared" si="56"/>
        <v>1.1629426368744328E-2</v>
      </c>
      <c r="Q740" s="2">
        <f t="shared" si="57"/>
        <v>3.0959752321981424E-2</v>
      </c>
      <c r="R740" t="str">
        <f t="shared" si="58"/>
        <v>Late</v>
      </c>
      <c r="S740" t="str">
        <f t="shared" si="59"/>
        <v>OK</v>
      </c>
    </row>
    <row r="741" spans="1:19" x14ac:dyDescent="0.25">
      <c r="A741" t="s">
        <v>766</v>
      </c>
      <c r="B741" t="s">
        <v>17</v>
      </c>
      <c r="C741" s="1">
        <v>44632</v>
      </c>
      <c r="D741" s="1">
        <v>44639</v>
      </c>
      <c r="E741" t="s">
        <v>21</v>
      </c>
      <c r="F741" t="s">
        <v>18</v>
      </c>
      <c r="G741">
        <v>241</v>
      </c>
      <c r="H741" s="3">
        <v>87.42</v>
      </c>
      <c r="I741" s="3">
        <v>82.15</v>
      </c>
      <c r="K741" t="s">
        <v>15</v>
      </c>
      <c r="L741">
        <f t="shared" si="55"/>
        <v>7</v>
      </c>
      <c r="M741" s="3">
        <f>Table1[[#This Row],[Quantity]]*Table1[[#This Row],[Negotiated_Price]]</f>
        <v>19798.150000000001</v>
      </c>
      <c r="N741" s="3">
        <f>Table1[[#This Row],[Quantity]]*Table1[[#This Row],[Unit_Price]]</f>
        <v>21068.22</v>
      </c>
      <c r="O741" s="3">
        <f>Table1[[#This Row],[ Original_Spend ]]-Table1[[#This Row],[ Total_Spend ]]</f>
        <v>1270.0699999999997</v>
      </c>
      <c r="P741" s="2">
        <f t="shared" si="56"/>
        <v>6.0283687943262394E-2</v>
      </c>
      <c r="Q741" s="2">
        <f t="shared" si="57"/>
        <v>0</v>
      </c>
      <c r="R741" t="str">
        <f t="shared" si="58"/>
        <v>On Time</v>
      </c>
      <c r="S741" t="str">
        <f t="shared" si="59"/>
        <v>OK</v>
      </c>
    </row>
    <row r="742" spans="1:19" x14ac:dyDescent="0.25">
      <c r="A742" t="s">
        <v>767</v>
      </c>
      <c r="B742" t="s">
        <v>20</v>
      </c>
      <c r="C742" s="1">
        <v>45229</v>
      </c>
      <c r="D742" s="1">
        <v>45239</v>
      </c>
      <c r="E742" t="s">
        <v>26</v>
      </c>
      <c r="F742" t="s">
        <v>18</v>
      </c>
      <c r="G742">
        <v>788</v>
      </c>
      <c r="H742" s="3">
        <v>97.3</v>
      </c>
      <c r="I742" s="3">
        <v>94.44</v>
      </c>
      <c r="J742">
        <v>32</v>
      </c>
      <c r="K742" t="s">
        <v>15</v>
      </c>
      <c r="L742">
        <f t="shared" si="55"/>
        <v>10</v>
      </c>
      <c r="M742" s="3">
        <f>Table1[[#This Row],[Quantity]]*Table1[[#This Row],[Negotiated_Price]]</f>
        <v>74418.720000000001</v>
      </c>
      <c r="N742" s="3">
        <f>Table1[[#This Row],[Quantity]]*Table1[[#This Row],[Unit_Price]]</f>
        <v>76672.399999999994</v>
      </c>
      <c r="O742" s="3">
        <f>Table1[[#This Row],[ Original_Spend ]]-Table1[[#This Row],[ Total_Spend ]]</f>
        <v>2253.679999999993</v>
      </c>
      <c r="P742" s="2">
        <f t="shared" si="56"/>
        <v>2.9393627954778945E-2</v>
      </c>
      <c r="Q742" s="2">
        <f t="shared" si="57"/>
        <v>4.060913705583756E-2</v>
      </c>
      <c r="R742" t="str">
        <f t="shared" si="58"/>
        <v>On Time</v>
      </c>
      <c r="S742" t="str">
        <f t="shared" si="59"/>
        <v>OK</v>
      </c>
    </row>
    <row r="743" spans="1:19" x14ac:dyDescent="0.25">
      <c r="A743" t="s">
        <v>768</v>
      </c>
      <c r="B743" t="s">
        <v>20</v>
      </c>
      <c r="C743" s="1">
        <v>44603</v>
      </c>
      <c r="D743" s="1">
        <v>44605</v>
      </c>
      <c r="E743" t="s">
        <v>13</v>
      </c>
      <c r="F743" t="s">
        <v>18</v>
      </c>
      <c r="G743">
        <v>1762</v>
      </c>
      <c r="H743" s="3">
        <v>74.12</v>
      </c>
      <c r="I743" s="3">
        <v>65.709999999999994</v>
      </c>
      <c r="J743">
        <v>94</v>
      </c>
      <c r="K743" t="s">
        <v>15</v>
      </c>
      <c r="L743">
        <f t="shared" si="55"/>
        <v>2</v>
      </c>
      <c r="M743" s="3">
        <f>Table1[[#This Row],[Quantity]]*Table1[[#This Row],[Negotiated_Price]]</f>
        <v>115781.01999999999</v>
      </c>
      <c r="N743" s="3">
        <f>Table1[[#This Row],[Quantity]]*Table1[[#This Row],[Unit_Price]]</f>
        <v>130599.44</v>
      </c>
      <c r="O743" s="3">
        <f>Table1[[#This Row],[ Original_Spend ]]-Table1[[#This Row],[ Total_Spend ]]</f>
        <v>14818.420000000013</v>
      </c>
      <c r="P743" s="2">
        <f t="shared" si="56"/>
        <v>0.11346465191581229</v>
      </c>
      <c r="Q743" s="2">
        <f t="shared" si="57"/>
        <v>5.3348467650397274E-2</v>
      </c>
      <c r="R743" t="str">
        <f t="shared" si="58"/>
        <v>On Time</v>
      </c>
      <c r="S743" t="str">
        <f t="shared" si="59"/>
        <v>OK</v>
      </c>
    </row>
    <row r="744" spans="1:19" x14ac:dyDescent="0.25">
      <c r="A744" t="s">
        <v>769</v>
      </c>
      <c r="B744" t="s">
        <v>12</v>
      </c>
      <c r="C744" s="1">
        <v>44593</v>
      </c>
      <c r="E744" t="s">
        <v>26</v>
      </c>
      <c r="F744" t="s">
        <v>35</v>
      </c>
      <c r="G744">
        <v>1172</v>
      </c>
      <c r="H744" s="3">
        <v>85.76</v>
      </c>
      <c r="I744" s="3">
        <v>81.430000000000007</v>
      </c>
      <c r="J744">
        <v>25</v>
      </c>
      <c r="K744" t="s">
        <v>15</v>
      </c>
      <c r="L744" t="str">
        <f t="shared" si="55"/>
        <v/>
      </c>
      <c r="M744" s="3">
        <f>Table1[[#This Row],[Quantity]]*Table1[[#This Row],[Negotiated_Price]]</f>
        <v>95435.96</v>
      </c>
      <c r="N744" s="3">
        <f>Table1[[#This Row],[Quantity]]*Table1[[#This Row],[Unit_Price]]</f>
        <v>100510.72</v>
      </c>
      <c r="O744" s="3">
        <f>Table1[[#This Row],[ Original_Spend ]]-Table1[[#This Row],[ Total_Spend ]]</f>
        <v>5074.7599999999948</v>
      </c>
      <c r="P744" s="2">
        <f t="shared" si="56"/>
        <v>5.0489738805970096E-2</v>
      </c>
      <c r="Q744" s="2">
        <f t="shared" si="57"/>
        <v>2.1331058020477817E-2</v>
      </c>
      <c r="R744" t="str">
        <f t="shared" si="58"/>
        <v>Pending</v>
      </c>
      <c r="S744" t="str">
        <f t="shared" si="59"/>
        <v>OK</v>
      </c>
    </row>
    <row r="745" spans="1:19" x14ac:dyDescent="0.25">
      <c r="A745" t="s">
        <v>770</v>
      </c>
      <c r="B745" t="s">
        <v>17</v>
      </c>
      <c r="C745" s="1">
        <v>44815</v>
      </c>
      <c r="D745" s="1">
        <v>44834</v>
      </c>
      <c r="E745" t="s">
        <v>13</v>
      </c>
      <c r="F745" t="s">
        <v>18</v>
      </c>
      <c r="G745">
        <v>1621</v>
      </c>
      <c r="H745" s="3">
        <v>75.680000000000007</v>
      </c>
      <c r="I745" s="3">
        <v>73.78</v>
      </c>
      <c r="J745">
        <v>226</v>
      </c>
      <c r="K745" t="s">
        <v>27</v>
      </c>
      <c r="L745">
        <f t="shared" si="55"/>
        <v>19</v>
      </c>
      <c r="M745" s="3">
        <f>Table1[[#This Row],[Quantity]]*Table1[[#This Row],[Negotiated_Price]]</f>
        <v>119597.38</v>
      </c>
      <c r="N745" s="3">
        <f>Table1[[#This Row],[Quantity]]*Table1[[#This Row],[Unit_Price]]</f>
        <v>122677.28000000001</v>
      </c>
      <c r="O745" s="3">
        <f>Table1[[#This Row],[ Original_Spend ]]-Table1[[#This Row],[ Total_Spend ]]</f>
        <v>3079.9000000000087</v>
      </c>
      <c r="P745" s="2">
        <f t="shared" si="56"/>
        <v>2.5105708245243198E-2</v>
      </c>
      <c r="Q745" s="2">
        <f t="shared" si="57"/>
        <v>0.13942011104256632</v>
      </c>
      <c r="R745" t="str">
        <f t="shared" si="58"/>
        <v>Late</v>
      </c>
      <c r="S745" t="str">
        <f t="shared" si="59"/>
        <v>OK</v>
      </c>
    </row>
    <row r="746" spans="1:19" x14ac:dyDescent="0.25">
      <c r="A746" t="s">
        <v>771</v>
      </c>
      <c r="B746" t="s">
        <v>12</v>
      </c>
      <c r="C746" s="1">
        <v>44766</v>
      </c>
      <c r="D746" s="1">
        <v>44768</v>
      </c>
      <c r="E746" t="s">
        <v>24</v>
      </c>
      <c r="F746" t="s">
        <v>18</v>
      </c>
      <c r="G746">
        <v>1027</v>
      </c>
      <c r="H746" s="3">
        <v>73.349999999999994</v>
      </c>
      <c r="I746" s="3">
        <v>65.42</v>
      </c>
      <c r="J746">
        <v>24</v>
      </c>
      <c r="K746" t="s">
        <v>27</v>
      </c>
      <c r="L746">
        <f t="shared" si="55"/>
        <v>2</v>
      </c>
      <c r="M746" s="3">
        <f>Table1[[#This Row],[Quantity]]*Table1[[#This Row],[Negotiated_Price]]</f>
        <v>67186.34</v>
      </c>
      <c r="N746" s="3">
        <f>Table1[[#This Row],[Quantity]]*Table1[[#This Row],[Unit_Price]]</f>
        <v>75330.45</v>
      </c>
      <c r="O746" s="3">
        <f>Table1[[#This Row],[ Original_Spend ]]-Table1[[#This Row],[ Total_Spend ]]</f>
        <v>8144.1100000000006</v>
      </c>
      <c r="P746" s="2">
        <f t="shared" si="56"/>
        <v>0.10811179277436947</v>
      </c>
      <c r="Q746" s="2">
        <f t="shared" si="57"/>
        <v>2.3369036027263874E-2</v>
      </c>
      <c r="R746" t="str">
        <f t="shared" si="58"/>
        <v>On Time</v>
      </c>
      <c r="S746" t="str">
        <f t="shared" si="59"/>
        <v>OK</v>
      </c>
    </row>
    <row r="747" spans="1:19" x14ac:dyDescent="0.25">
      <c r="A747" t="s">
        <v>772</v>
      </c>
      <c r="B747" t="s">
        <v>23</v>
      </c>
      <c r="C747" s="1">
        <v>44582</v>
      </c>
      <c r="E747" t="s">
        <v>26</v>
      </c>
      <c r="F747" t="s">
        <v>18</v>
      </c>
      <c r="G747">
        <v>1058</v>
      </c>
      <c r="H747" s="3">
        <v>65.680000000000007</v>
      </c>
      <c r="I747" s="3">
        <v>57.21</v>
      </c>
      <c r="J747">
        <v>101</v>
      </c>
      <c r="K747" t="s">
        <v>15</v>
      </c>
      <c r="L747" t="str">
        <f t="shared" si="55"/>
        <v/>
      </c>
      <c r="M747" s="3">
        <f>Table1[[#This Row],[Quantity]]*Table1[[#This Row],[Negotiated_Price]]</f>
        <v>60528.18</v>
      </c>
      <c r="N747" s="3">
        <f>Table1[[#This Row],[Quantity]]*Table1[[#This Row],[Unit_Price]]</f>
        <v>69489.440000000002</v>
      </c>
      <c r="O747" s="3">
        <f>Table1[[#This Row],[ Original_Spend ]]-Table1[[#This Row],[ Total_Spend ]]</f>
        <v>8961.260000000002</v>
      </c>
      <c r="P747" s="2">
        <f t="shared" si="56"/>
        <v>0.12895858708891597</v>
      </c>
      <c r="Q747" s="2">
        <f t="shared" si="57"/>
        <v>9.5463137996219277E-2</v>
      </c>
      <c r="R747" t="str">
        <f t="shared" si="58"/>
        <v>Missing Delivery Date</v>
      </c>
      <c r="S747" t="str">
        <f t="shared" si="59"/>
        <v>Missing Delivery Date</v>
      </c>
    </row>
    <row r="748" spans="1:19" x14ac:dyDescent="0.25">
      <c r="A748" t="s">
        <v>773</v>
      </c>
      <c r="B748" t="s">
        <v>23</v>
      </c>
      <c r="C748" s="1">
        <v>45198</v>
      </c>
      <c r="D748" s="1">
        <v>45204</v>
      </c>
      <c r="E748" t="s">
        <v>24</v>
      </c>
      <c r="F748" t="s">
        <v>18</v>
      </c>
      <c r="G748">
        <v>145</v>
      </c>
      <c r="H748" s="3">
        <v>85.52</v>
      </c>
      <c r="I748" s="3">
        <v>81.86</v>
      </c>
      <c r="J748">
        <v>11</v>
      </c>
      <c r="K748" t="s">
        <v>27</v>
      </c>
      <c r="L748">
        <f t="shared" si="55"/>
        <v>6</v>
      </c>
      <c r="M748" s="3">
        <f>Table1[[#This Row],[Quantity]]*Table1[[#This Row],[Negotiated_Price]]</f>
        <v>11869.7</v>
      </c>
      <c r="N748" s="3">
        <f>Table1[[#This Row],[Quantity]]*Table1[[#This Row],[Unit_Price]]</f>
        <v>12400.4</v>
      </c>
      <c r="O748" s="3">
        <f>Table1[[#This Row],[ Original_Spend ]]-Table1[[#This Row],[ Total_Spend ]]</f>
        <v>530.69999999999891</v>
      </c>
      <c r="P748" s="2">
        <f t="shared" si="56"/>
        <v>4.2797006548175781E-2</v>
      </c>
      <c r="Q748" s="2">
        <f t="shared" si="57"/>
        <v>7.586206896551724E-2</v>
      </c>
      <c r="R748" t="str">
        <f t="shared" si="58"/>
        <v>On Time</v>
      </c>
      <c r="S748" t="str">
        <f t="shared" si="59"/>
        <v>OK</v>
      </c>
    </row>
    <row r="749" spans="1:19" x14ac:dyDescent="0.25">
      <c r="A749" t="s">
        <v>774</v>
      </c>
      <c r="B749" t="s">
        <v>29</v>
      </c>
      <c r="C749" s="1">
        <v>44718</v>
      </c>
      <c r="E749" t="s">
        <v>13</v>
      </c>
      <c r="F749" t="s">
        <v>18</v>
      </c>
      <c r="G749">
        <v>1737</v>
      </c>
      <c r="H749" s="3">
        <v>24.88</v>
      </c>
      <c r="I749" s="3">
        <v>24.28</v>
      </c>
      <c r="J749">
        <v>46</v>
      </c>
      <c r="K749" t="s">
        <v>15</v>
      </c>
      <c r="L749" t="str">
        <f t="shared" si="55"/>
        <v/>
      </c>
      <c r="M749" s="3">
        <f>Table1[[#This Row],[Quantity]]*Table1[[#This Row],[Negotiated_Price]]</f>
        <v>42174.36</v>
      </c>
      <c r="N749" s="3">
        <f>Table1[[#This Row],[Quantity]]*Table1[[#This Row],[Unit_Price]]</f>
        <v>43216.56</v>
      </c>
      <c r="O749" s="3">
        <f>Table1[[#This Row],[ Original_Spend ]]-Table1[[#This Row],[ Total_Spend ]]</f>
        <v>1042.1999999999971</v>
      </c>
      <c r="P749" s="2">
        <f t="shared" si="56"/>
        <v>2.4115755627009579E-2</v>
      </c>
      <c r="Q749" s="2">
        <f t="shared" si="57"/>
        <v>2.6482440990213012E-2</v>
      </c>
      <c r="R749" t="str">
        <f t="shared" si="58"/>
        <v>Missing Delivery Date</v>
      </c>
      <c r="S749" t="str">
        <f t="shared" si="59"/>
        <v>Missing Delivery Date</v>
      </c>
    </row>
    <row r="750" spans="1:19" x14ac:dyDescent="0.25">
      <c r="A750" t="s">
        <v>775</v>
      </c>
      <c r="B750" t="s">
        <v>20</v>
      </c>
      <c r="C750" s="1">
        <v>44806</v>
      </c>
      <c r="D750" s="1">
        <v>44819</v>
      </c>
      <c r="E750" t="s">
        <v>39</v>
      </c>
      <c r="F750" t="s">
        <v>18</v>
      </c>
      <c r="G750">
        <v>712</v>
      </c>
      <c r="H750" s="3">
        <v>92.85</v>
      </c>
      <c r="I750" s="3">
        <v>89.39</v>
      </c>
      <c r="J750">
        <v>43</v>
      </c>
      <c r="K750" t="s">
        <v>15</v>
      </c>
      <c r="L750">
        <f t="shared" si="55"/>
        <v>13</v>
      </c>
      <c r="M750" s="3">
        <f>Table1[[#This Row],[Quantity]]*Table1[[#This Row],[Negotiated_Price]]</f>
        <v>63645.68</v>
      </c>
      <c r="N750" s="3">
        <f>Table1[[#This Row],[Quantity]]*Table1[[#This Row],[Unit_Price]]</f>
        <v>66109.2</v>
      </c>
      <c r="O750" s="3">
        <f>Table1[[#This Row],[ Original_Spend ]]-Table1[[#This Row],[ Total_Spend ]]</f>
        <v>2463.5199999999968</v>
      </c>
      <c r="P750" s="2">
        <f t="shared" si="56"/>
        <v>3.7264404954227198E-2</v>
      </c>
      <c r="Q750" s="2">
        <f t="shared" si="57"/>
        <v>6.0393258426966294E-2</v>
      </c>
      <c r="R750" t="str">
        <f t="shared" si="58"/>
        <v>Late</v>
      </c>
      <c r="S750" t="str">
        <f t="shared" si="59"/>
        <v>OK</v>
      </c>
    </row>
    <row r="751" spans="1:19" x14ac:dyDescent="0.25">
      <c r="A751" t="s">
        <v>776</v>
      </c>
      <c r="B751" t="s">
        <v>29</v>
      </c>
      <c r="C751" s="1">
        <v>44691</v>
      </c>
      <c r="D751" s="1">
        <v>44697</v>
      </c>
      <c r="E751" t="s">
        <v>39</v>
      </c>
      <c r="F751" t="s">
        <v>18</v>
      </c>
      <c r="G751">
        <v>1263</v>
      </c>
      <c r="H751" s="3">
        <v>90.24</v>
      </c>
      <c r="I751" s="3">
        <v>86.84</v>
      </c>
      <c r="J751">
        <v>28</v>
      </c>
      <c r="K751" t="s">
        <v>15</v>
      </c>
      <c r="L751">
        <f t="shared" si="55"/>
        <v>6</v>
      </c>
      <c r="M751" s="3">
        <f>Table1[[#This Row],[Quantity]]*Table1[[#This Row],[Negotiated_Price]]</f>
        <v>109678.92</v>
      </c>
      <c r="N751" s="3">
        <f>Table1[[#This Row],[Quantity]]*Table1[[#This Row],[Unit_Price]]</f>
        <v>113973.12</v>
      </c>
      <c r="O751" s="3">
        <f>Table1[[#This Row],[ Original_Spend ]]-Table1[[#This Row],[ Total_Spend ]]</f>
        <v>4294.1999999999971</v>
      </c>
      <c r="P751" s="2">
        <f t="shared" si="56"/>
        <v>3.7677304964538985E-2</v>
      </c>
      <c r="Q751" s="2">
        <f t="shared" si="57"/>
        <v>2.2169437846397466E-2</v>
      </c>
      <c r="R751" t="str">
        <f t="shared" si="58"/>
        <v>On Time</v>
      </c>
      <c r="S751" t="str">
        <f t="shared" si="59"/>
        <v>OK</v>
      </c>
    </row>
    <row r="752" spans="1:19" x14ac:dyDescent="0.25">
      <c r="A752" t="s">
        <v>777</v>
      </c>
      <c r="B752" t="s">
        <v>17</v>
      </c>
      <c r="C752" s="1">
        <v>45046</v>
      </c>
      <c r="E752" t="s">
        <v>39</v>
      </c>
      <c r="F752" t="s">
        <v>18</v>
      </c>
      <c r="G752">
        <v>1809</v>
      </c>
      <c r="H752" s="3">
        <v>13.58</v>
      </c>
      <c r="I752" s="3">
        <v>12.68</v>
      </c>
      <c r="K752" t="s">
        <v>27</v>
      </c>
      <c r="L752" t="str">
        <f t="shared" si="55"/>
        <v/>
      </c>
      <c r="M752" s="3">
        <f>Table1[[#This Row],[Quantity]]*Table1[[#This Row],[Negotiated_Price]]</f>
        <v>22938.12</v>
      </c>
      <c r="N752" s="3">
        <f>Table1[[#This Row],[Quantity]]*Table1[[#This Row],[Unit_Price]]</f>
        <v>24566.22</v>
      </c>
      <c r="O752" s="3">
        <f>Table1[[#This Row],[ Original_Spend ]]-Table1[[#This Row],[ Total_Spend ]]</f>
        <v>1628.1000000000022</v>
      </c>
      <c r="P752" s="2">
        <f t="shared" si="56"/>
        <v>6.627393225331378E-2</v>
      </c>
      <c r="Q752" s="2">
        <f t="shared" si="57"/>
        <v>0</v>
      </c>
      <c r="R752" t="str">
        <f t="shared" si="58"/>
        <v>Missing Delivery Date</v>
      </c>
      <c r="S752" t="str">
        <f t="shared" si="59"/>
        <v>Missing Delivery Date</v>
      </c>
    </row>
    <row r="753" spans="1:19" x14ac:dyDescent="0.25">
      <c r="A753" t="s">
        <v>778</v>
      </c>
      <c r="B753" t="s">
        <v>23</v>
      </c>
      <c r="C753" s="1">
        <v>45247</v>
      </c>
      <c r="E753" t="s">
        <v>39</v>
      </c>
      <c r="F753" t="s">
        <v>14</v>
      </c>
      <c r="G753">
        <v>86</v>
      </c>
      <c r="H753" s="3">
        <v>93.6</v>
      </c>
      <c r="I753" s="3">
        <v>88.22</v>
      </c>
      <c r="J753">
        <v>5</v>
      </c>
      <c r="K753" t="s">
        <v>15</v>
      </c>
      <c r="L753" t="str">
        <f t="shared" si="55"/>
        <v/>
      </c>
      <c r="M753" s="3">
        <f>Table1[[#This Row],[Quantity]]*Table1[[#This Row],[Negotiated_Price]]</f>
        <v>7586.92</v>
      </c>
      <c r="N753" s="3">
        <f>Table1[[#This Row],[Quantity]]*Table1[[#This Row],[Unit_Price]]</f>
        <v>8049.5999999999995</v>
      </c>
      <c r="O753" s="3">
        <f>Table1[[#This Row],[ Original_Spend ]]-Table1[[#This Row],[ Total_Spend ]]</f>
        <v>462.67999999999938</v>
      </c>
      <c r="P753" s="2">
        <f t="shared" si="56"/>
        <v>5.7478632478632406E-2</v>
      </c>
      <c r="Q753" s="2">
        <f t="shared" si="57"/>
        <v>5.8139534883720929E-2</v>
      </c>
      <c r="R753" t="str">
        <f t="shared" si="58"/>
        <v>Cancelled</v>
      </c>
      <c r="S753" t="str">
        <f t="shared" si="59"/>
        <v>OK</v>
      </c>
    </row>
    <row r="754" spans="1:19" x14ac:dyDescent="0.25">
      <c r="A754" t="s">
        <v>779</v>
      </c>
      <c r="B754" t="s">
        <v>29</v>
      </c>
      <c r="C754" s="1">
        <v>44679</v>
      </c>
      <c r="E754" t="s">
        <v>21</v>
      </c>
      <c r="F754" t="s">
        <v>18</v>
      </c>
      <c r="G754">
        <v>1853</v>
      </c>
      <c r="H754" s="3">
        <v>21.92</v>
      </c>
      <c r="I754" s="3">
        <v>20.72</v>
      </c>
      <c r="K754" t="s">
        <v>15</v>
      </c>
      <c r="L754" t="str">
        <f t="shared" si="55"/>
        <v/>
      </c>
      <c r="M754" s="3">
        <f>Table1[[#This Row],[Quantity]]*Table1[[#This Row],[Negotiated_Price]]</f>
        <v>38394.159999999996</v>
      </c>
      <c r="N754" s="3">
        <f>Table1[[#This Row],[Quantity]]*Table1[[#This Row],[Unit_Price]]</f>
        <v>40617.760000000002</v>
      </c>
      <c r="O754" s="3">
        <f>Table1[[#This Row],[ Original_Spend ]]-Table1[[#This Row],[ Total_Spend ]]</f>
        <v>2223.6000000000058</v>
      </c>
      <c r="P754" s="2">
        <f t="shared" si="56"/>
        <v>5.4744525547445397E-2</v>
      </c>
      <c r="Q754" s="2">
        <f t="shared" si="57"/>
        <v>0</v>
      </c>
      <c r="R754" t="str">
        <f t="shared" si="58"/>
        <v>Missing Delivery Date</v>
      </c>
      <c r="S754" t="str">
        <f t="shared" si="59"/>
        <v>Missing Delivery Date</v>
      </c>
    </row>
    <row r="755" spans="1:19" x14ac:dyDescent="0.25">
      <c r="A755" t="s">
        <v>780</v>
      </c>
      <c r="B755" t="s">
        <v>23</v>
      </c>
      <c r="C755" s="1">
        <v>45139</v>
      </c>
      <c r="D755" s="1">
        <v>45140</v>
      </c>
      <c r="E755" t="s">
        <v>39</v>
      </c>
      <c r="F755" t="s">
        <v>18</v>
      </c>
      <c r="G755">
        <v>1442</v>
      </c>
      <c r="H755" s="3">
        <v>43.98</v>
      </c>
      <c r="I755" s="3">
        <v>41.82</v>
      </c>
      <c r="J755">
        <v>140</v>
      </c>
      <c r="K755" t="s">
        <v>27</v>
      </c>
      <c r="L755">
        <f t="shared" si="55"/>
        <v>1</v>
      </c>
      <c r="M755" s="3">
        <f>Table1[[#This Row],[Quantity]]*Table1[[#This Row],[Negotiated_Price]]</f>
        <v>60304.44</v>
      </c>
      <c r="N755" s="3">
        <f>Table1[[#This Row],[Quantity]]*Table1[[#This Row],[Unit_Price]]</f>
        <v>63419.159999999996</v>
      </c>
      <c r="O755" s="3">
        <f>Table1[[#This Row],[ Original_Spend ]]-Table1[[#This Row],[ Total_Spend ]]</f>
        <v>3114.7199999999939</v>
      </c>
      <c r="P755" s="2">
        <f t="shared" si="56"/>
        <v>4.9113233287858021E-2</v>
      </c>
      <c r="Q755" s="2">
        <f t="shared" si="57"/>
        <v>9.7087378640776698E-2</v>
      </c>
      <c r="R755" t="str">
        <f t="shared" si="58"/>
        <v>On Time</v>
      </c>
      <c r="S755" t="str">
        <f t="shared" si="59"/>
        <v>OK</v>
      </c>
    </row>
    <row r="756" spans="1:19" x14ac:dyDescent="0.25">
      <c r="A756" t="s">
        <v>781</v>
      </c>
      <c r="B756" t="s">
        <v>23</v>
      </c>
      <c r="C756" s="1">
        <v>44785</v>
      </c>
      <c r="D756" s="1">
        <v>44805</v>
      </c>
      <c r="E756" t="s">
        <v>13</v>
      </c>
      <c r="F756" t="s">
        <v>35</v>
      </c>
      <c r="G756">
        <v>1768</v>
      </c>
      <c r="H756" s="3">
        <v>79.61</v>
      </c>
      <c r="I756" s="3">
        <v>74.97</v>
      </c>
      <c r="J756">
        <v>207</v>
      </c>
      <c r="K756" t="s">
        <v>27</v>
      </c>
      <c r="L756">
        <f t="shared" si="55"/>
        <v>20</v>
      </c>
      <c r="M756" s="3">
        <f>Table1[[#This Row],[Quantity]]*Table1[[#This Row],[Negotiated_Price]]</f>
        <v>132546.96</v>
      </c>
      <c r="N756" s="3">
        <f>Table1[[#This Row],[Quantity]]*Table1[[#This Row],[Unit_Price]]</f>
        <v>140750.48000000001</v>
      </c>
      <c r="O756" s="3">
        <f>Table1[[#This Row],[ Original_Spend ]]-Table1[[#This Row],[ Total_Spend ]]</f>
        <v>8203.5200000000186</v>
      </c>
      <c r="P756" s="2">
        <f t="shared" si="56"/>
        <v>5.8284135158899762E-2</v>
      </c>
      <c r="Q756" s="2">
        <f t="shared" si="57"/>
        <v>0.11708144796380091</v>
      </c>
      <c r="R756" t="str">
        <f t="shared" si="58"/>
        <v>Pending</v>
      </c>
      <c r="S756" t="str">
        <f t="shared" si="59"/>
        <v>Status-Date Conflict</v>
      </c>
    </row>
    <row r="757" spans="1:19" x14ac:dyDescent="0.25">
      <c r="A757" t="s">
        <v>782</v>
      </c>
      <c r="B757" t="s">
        <v>23</v>
      </c>
      <c r="C757" s="1">
        <v>45038</v>
      </c>
      <c r="D757" s="1">
        <v>45049</v>
      </c>
      <c r="E757" t="s">
        <v>39</v>
      </c>
      <c r="F757" t="s">
        <v>33</v>
      </c>
      <c r="G757">
        <v>1598</v>
      </c>
      <c r="H757" s="3">
        <v>26.3</v>
      </c>
      <c r="I757" s="3">
        <v>26.03</v>
      </c>
      <c r="J757">
        <v>154</v>
      </c>
      <c r="K757" t="s">
        <v>27</v>
      </c>
      <c r="L757">
        <f t="shared" si="55"/>
        <v>11</v>
      </c>
      <c r="M757" s="3">
        <f>Table1[[#This Row],[Quantity]]*Table1[[#This Row],[Negotiated_Price]]</f>
        <v>41595.94</v>
      </c>
      <c r="N757" s="3">
        <f>Table1[[#This Row],[Quantity]]*Table1[[#This Row],[Unit_Price]]</f>
        <v>42027.4</v>
      </c>
      <c r="O757" s="3">
        <f>Table1[[#This Row],[ Original_Spend ]]-Table1[[#This Row],[ Total_Spend ]]</f>
        <v>431.45999999999913</v>
      </c>
      <c r="P757" s="2">
        <f t="shared" si="56"/>
        <v>1.026615969581747E-2</v>
      </c>
      <c r="Q757" s="2">
        <f t="shared" si="57"/>
        <v>9.6370463078848556E-2</v>
      </c>
      <c r="R757" t="str">
        <f t="shared" si="58"/>
        <v>Partially Delivered</v>
      </c>
      <c r="S757" t="str">
        <f t="shared" si="59"/>
        <v>Status-Date Conflict</v>
      </c>
    </row>
    <row r="758" spans="1:19" x14ac:dyDescent="0.25">
      <c r="A758" t="s">
        <v>783</v>
      </c>
      <c r="B758" t="s">
        <v>12</v>
      </c>
      <c r="C758" s="1">
        <v>45278</v>
      </c>
      <c r="D758" s="1">
        <v>45296</v>
      </c>
      <c r="E758" t="s">
        <v>21</v>
      </c>
      <c r="F758" t="s">
        <v>14</v>
      </c>
      <c r="G758">
        <v>328</v>
      </c>
      <c r="H758" s="3">
        <v>93.23</v>
      </c>
      <c r="I758" s="3">
        <v>82.63</v>
      </c>
      <c r="J758">
        <v>6</v>
      </c>
      <c r="K758" t="s">
        <v>15</v>
      </c>
      <c r="L758">
        <f t="shared" si="55"/>
        <v>18</v>
      </c>
      <c r="M758" s="3">
        <f>Table1[[#This Row],[Quantity]]*Table1[[#This Row],[Negotiated_Price]]</f>
        <v>27102.639999999999</v>
      </c>
      <c r="N758" s="3">
        <f>Table1[[#This Row],[Quantity]]*Table1[[#This Row],[Unit_Price]]</f>
        <v>30579.440000000002</v>
      </c>
      <c r="O758" s="3">
        <f>Table1[[#This Row],[ Original_Spend ]]-Table1[[#This Row],[ Total_Spend ]]</f>
        <v>3476.8000000000029</v>
      </c>
      <c r="P758" s="2">
        <f t="shared" si="56"/>
        <v>0.11369730773356225</v>
      </c>
      <c r="Q758" s="2">
        <f t="shared" si="57"/>
        <v>1.8292682926829267E-2</v>
      </c>
      <c r="R758" t="str">
        <f t="shared" si="58"/>
        <v>Cancelled</v>
      </c>
      <c r="S758" t="str">
        <f t="shared" si="59"/>
        <v>Status-Date Conflict</v>
      </c>
    </row>
    <row r="759" spans="1:19" x14ac:dyDescent="0.25">
      <c r="A759" t="s">
        <v>784</v>
      </c>
      <c r="B759" t="s">
        <v>29</v>
      </c>
      <c r="C759" s="1">
        <v>44824</v>
      </c>
      <c r="D759" s="1">
        <v>44829</v>
      </c>
      <c r="E759" t="s">
        <v>24</v>
      </c>
      <c r="F759" t="s">
        <v>18</v>
      </c>
      <c r="G759">
        <v>266</v>
      </c>
      <c r="H759" s="3">
        <v>88.29</v>
      </c>
      <c r="I759" s="3">
        <v>80.22</v>
      </c>
      <c r="J759">
        <v>4</v>
      </c>
      <c r="K759" t="s">
        <v>15</v>
      </c>
      <c r="L759">
        <f t="shared" si="55"/>
        <v>5</v>
      </c>
      <c r="M759" s="3">
        <f>Table1[[#This Row],[Quantity]]*Table1[[#This Row],[Negotiated_Price]]</f>
        <v>21338.52</v>
      </c>
      <c r="N759" s="3">
        <f>Table1[[#This Row],[Quantity]]*Table1[[#This Row],[Unit_Price]]</f>
        <v>23485.140000000003</v>
      </c>
      <c r="O759" s="3">
        <f>Table1[[#This Row],[ Original_Spend ]]-Table1[[#This Row],[ Total_Spend ]]</f>
        <v>2146.6200000000026</v>
      </c>
      <c r="P759" s="2">
        <f t="shared" si="56"/>
        <v>9.1403329935440134E-2</v>
      </c>
      <c r="Q759" s="2">
        <f t="shared" si="57"/>
        <v>1.5037593984962405E-2</v>
      </c>
      <c r="R759" t="str">
        <f t="shared" si="58"/>
        <v>On Time</v>
      </c>
      <c r="S759" t="str">
        <f t="shared" si="59"/>
        <v>OK</v>
      </c>
    </row>
    <row r="760" spans="1:19" x14ac:dyDescent="0.25">
      <c r="A760" t="s">
        <v>785</v>
      </c>
      <c r="B760" t="s">
        <v>20</v>
      </c>
      <c r="C760" s="1">
        <v>44939</v>
      </c>
      <c r="D760" s="1">
        <v>44954</v>
      </c>
      <c r="E760" t="s">
        <v>26</v>
      </c>
      <c r="F760" t="s">
        <v>18</v>
      </c>
      <c r="G760">
        <v>916</v>
      </c>
      <c r="H760" s="3">
        <v>59.01</v>
      </c>
      <c r="I760" s="3">
        <v>53.37</v>
      </c>
      <c r="J760">
        <v>47</v>
      </c>
      <c r="K760" t="s">
        <v>15</v>
      </c>
      <c r="L760">
        <f t="shared" si="55"/>
        <v>15</v>
      </c>
      <c r="M760" s="3">
        <f>Table1[[#This Row],[Quantity]]*Table1[[#This Row],[Negotiated_Price]]</f>
        <v>48886.92</v>
      </c>
      <c r="N760" s="3">
        <f>Table1[[#This Row],[Quantity]]*Table1[[#This Row],[Unit_Price]]</f>
        <v>54053.159999999996</v>
      </c>
      <c r="O760" s="3">
        <f>Table1[[#This Row],[ Original_Spend ]]-Table1[[#This Row],[ Total_Spend ]]</f>
        <v>5166.239999999998</v>
      </c>
      <c r="P760" s="2">
        <f t="shared" si="56"/>
        <v>9.5577020843924734E-2</v>
      </c>
      <c r="Q760" s="2">
        <f t="shared" si="57"/>
        <v>5.1310043668122272E-2</v>
      </c>
      <c r="R760" t="str">
        <f t="shared" si="58"/>
        <v>Late</v>
      </c>
      <c r="S760" t="str">
        <f t="shared" si="59"/>
        <v>OK</v>
      </c>
    </row>
    <row r="761" spans="1:19" x14ac:dyDescent="0.25">
      <c r="A761" t="s">
        <v>786</v>
      </c>
      <c r="B761" t="s">
        <v>29</v>
      </c>
      <c r="C761" s="1">
        <v>44733</v>
      </c>
      <c r="D761" s="1">
        <v>44737</v>
      </c>
      <c r="E761" t="s">
        <v>24</v>
      </c>
      <c r="F761" t="s">
        <v>14</v>
      </c>
      <c r="G761">
        <v>922</v>
      </c>
      <c r="H761" s="3">
        <v>10.84</v>
      </c>
      <c r="I761" s="3">
        <v>9.27</v>
      </c>
      <c r="J761">
        <v>29</v>
      </c>
      <c r="K761" t="s">
        <v>15</v>
      </c>
      <c r="L761">
        <f t="shared" si="55"/>
        <v>4</v>
      </c>
      <c r="M761" s="3">
        <f>Table1[[#This Row],[Quantity]]*Table1[[#This Row],[Negotiated_Price]]</f>
        <v>8546.94</v>
      </c>
      <c r="N761" s="3">
        <f>Table1[[#This Row],[Quantity]]*Table1[[#This Row],[Unit_Price]]</f>
        <v>9994.48</v>
      </c>
      <c r="O761" s="3">
        <f>Table1[[#This Row],[ Original_Spend ]]-Table1[[#This Row],[ Total_Spend ]]</f>
        <v>1447.5399999999991</v>
      </c>
      <c r="P761" s="2">
        <f t="shared" si="56"/>
        <v>0.14483394833948329</v>
      </c>
      <c r="Q761" s="2">
        <f t="shared" si="57"/>
        <v>3.1453362255965296E-2</v>
      </c>
      <c r="R761" t="str">
        <f t="shared" si="58"/>
        <v>Cancelled</v>
      </c>
      <c r="S761" t="str">
        <f t="shared" si="59"/>
        <v>Status-Date Conflict</v>
      </c>
    </row>
    <row r="762" spans="1:19" x14ac:dyDescent="0.25">
      <c r="A762" t="s">
        <v>787</v>
      </c>
      <c r="B762" t="s">
        <v>20</v>
      </c>
      <c r="C762" s="1">
        <v>45182</v>
      </c>
      <c r="D762" s="1">
        <v>45197</v>
      </c>
      <c r="E762" t="s">
        <v>24</v>
      </c>
      <c r="F762" t="s">
        <v>18</v>
      </c>
      <c r="G762">
        <v>1871</v>
      </c>
      <c r="H762" s="3">
        <v>39.42</v>
      </c>
      <c r="I762" s="3">
        <v>37.409999999999997</v>
      </c>
      <c r="J762">
        <v>101</v>
      </c>
      <c r="K762" t="s">
        <v>27</v>
      </c>
      <c r="L762">
        <f t="shared" si="55"/>
        <v>15</v>
      </c>
      <c r="M762" s="3">
        <f>Table1[[#This Row],[Quantity]]*Table1[[#This Row],[Negotiated_Price]]</f>
        <v>69994.11</v>
      </c>
      <c r="N762" s="3">
        <f>Table1[[#This Row],[Quantity]]*Table1[[#This Row],[Unit_Price]]</f>
        <v>73754.820000000007</v>
      </c>
      <c r="O762" s="3">
        <f>Table1[[#This Row],[ Original_Spend ]]-Table1[[#This Row],[ Total_Spend ]]</f>
        <v>3760.7100000000064</v>
      </c>
      <c r="P762" s="2">
        <f t="shared" si="56"/>
        <v>5.0989345509893536E-2</v>
      </c>
      <c r="Q762" s="2">
        <f t="shared" si="57"/>
        <v>5.3981827899518976E-2</v>
      </c>
      <c r="R762" t="str">
        <f t="shared" si="58"/>
        <v>Late</v>
      </c>
      <c r="S762" t="str">
        <f t="shared" si="59"/>
        <v>OK</v>
      </c>
    </row>
    <row r="763" spans="1:19" x14ac:dyDescent="0.25">
      <c r="A763" t="s">
        <v>788</v>
      </c>
      <c r="B763" t="s">
        <v>29</v>
      </c>
      <c r="C763" s="1">
        <v>45183</v>
      </c>
      <c r="D763" s="1">
        <v>45189</v>
      </c>
      <c r="E763" t="s">
        <v>26</v>
      </c>
      <c r="F763" t="s">
        <v>18</v>
      </c>
      <c r="G763">
        <v>1346</v>
      </c>
      <c r="H763" s="3">
        <v>72.08</v>
      </c>
      <c r="I763" s="3">
        <v>67.040000000000006</v>
      </c>
      <c r="J763">
        <v>38</v>
      </c>
      <c r="K763" t="s">
        <v>15</v>
      </c>
      <c r="L763">
        <f t="shared" si="55"/>
        <v>6</v>
      </c>
      <c r="M763" s="3">
        <f>Table1[[#This Row],[Quantity]]*Table1[[#This Row],[Negotiated_Price]]</f>
        <v>90235.840000000011</v>
      </c>
      <c r="N763" s="3">
        <f>Table1[[#This Row],[Quantity]]*Table1[[#This Row],[Unit_Price]]</f>
        <v>97019.68</v>
      </c>
      <c r="O763" s="3">
        <f>Table1[[#This Row],[ Original_Spend ]]-Table1[[#This Row],[ Total_Spend ]]</f>
        <v>6783.839999999982</v>
      </c>
      <c r="P763" s="2">
        <f t="shared" si="56"/>
        <v>6.9922308546059755E-2</v>
      </c>
      <c r="Q763" s="2">
        <f t="shared" si="57"/>
        <v>2.8231797919762259E-2</v>
      </c>
      <c r="R763" t="str">
        <f t="shared" si="58"/>
        <v>On Time</v>
      </c>
      <c r="S763" t="str">
        <f t="shared" si="59"/>
        <v>OK</v>
      </c>
    </row>
    <row r="764" spans="1:19" x14ac:dyDescent="0.25">
      <c r="A764" t="s">
        <v>789</v>
      </c>
      <c r="B764" t="s">
        <v>29</v>
      </c>
      <c r="C764" s="1">
        <v>44679</v>
      </c>
      <c r="D764" s="1">
        <v>44690</v>
      </c>
      <c r="E764" t="s">
        <v>39</v>
      </c>
      <c r="F764" t="s">
        <v>18</v>
      </c>
      <c r="G764">
        <v>1954</v>
      </c>
      <c r="H764" s="3">
        <v>99.78</v>
      </c>
      <c r="I764" s="3">
        <v>87.47</v>
      </c>
      <c r="J764">
        <v>57</v>
      </c>
      <c r="K764" t="s">
        <v>15</v>
      </c>
      <c r="L764">
        <f t="shared" si="55"/>
        <v>11</v>
      </c>
      <c r="M764" s="3">
        <f>Table1[[#This Row],[Quantity]]*Table1[[#This Row],[Negotiated_Price]]</f>
        <v>170916.38</v>
      </c>
      <c r="N764" s="3">
        <f>Table1[[#This Row],[Quantity]]*Table1[[#This Row],[Unit_Price]]</f>
        <v>194970.12</v>
      </c>
      <c r="O764" s="3">
        <f>Table1[[#This Row],[ Original_Spend ]]-Table1[[#This Row],[ Total_Spend ]]</f>
        <v>24053.739999999991</v>
      </c>
      <c r="P764" s="2">
        <f t="shared" si="56"/>
        <v>0.12337141711765881</v>
      </c>
      <c r="Q764" s="2">
        <f t="shared" si="57"/>
        <v>2.9170931422722621E-2</v>
      </c>
      <c r="R764" t="str">
        <f t="shared" si="58"/>
        <v>Late</v>
      </c>
      <c r="S764" t="str">
        <f t="shared" si="59"/>
        <v>OK</v>
      </c>
    </row>
    <row r="765" spans="1:19" x14ac:dyDescent="0.25">
      <c r="A765" t="s">
        <v>790</v>
      </c>
      <c r="B765" t="s">
        <v>23</v>
      </c>
      <c r="C765" s="1">
        <v>44729</v>
      </c>
      <c r="D765" s="1">
        <v>44748</v>
      </c>
      <c r="E765" t="s">
        <v>39</v>
      </c>
      <c r="F765" t="s">
        <v>18</v>
      </c>
      <c r="G765">
        <v>111</v>
      </c>
      <c r="H765" s="3">
        <v>68.53</v>
      </c>
      <c r="I765" s="3">
        <v>65.22</v>
      </c>
      <c r="J765">
        <v>11</v>
      </c>
      <c r="K765" t="s">
        <v>15</v>
      </c>
      <c r="L765">
        <f t="shared" si="55"/>
        <v>19</v>
      </c>
      <c r="M765" s="3">
        <f>Table1[[#This Row],[Quantity]]*Table1[[#This Row],[Negotiated_Price]]</f>
        <v>7239.42</v>
      </c>
      <c r="N765" s="3">
        <f>Table1[[#This Row],[Quantity]]*Table1[[#This Row],[Unit_Price]]</f>
        <v>7606.83</v>
      </c>
      <c r="O765" s="3">
        <f>Table1[[#This Row],[ Original_Spend ]]-Table1[[#This Row],[ Total_Spend ]]</f>
        <v>367.40999999999985</v>
      </c>
      <c r="P765" s="2">
        <f t="shared" si="56"/>
        <v>4.8300014592149408E-2</v>
      </c>
      <c r="Q765" s="2">
        <f t="shared" si="57"/>
        <v>9.90990990990991E-2</v>
      </c>
      <c r="R765" t="str">
        <f t="shared" si="58"/>
        <v>Late</v>
      </c>
      <c r="S765" t="str">
        <f t="shared" si="59"/>
        <v>OK</v>
      </c>
    </row>
    <row r="766" spans="1:19" x14ac:dyDescent="0.25">
      <c r="A766" t="s">
        <v>791</v>
      </c>
      <c r="B766" t="s">
        <v>20</v>
      </c>
      <c r="C766" s="1">
        <v>44880</v>
      </c>
      <c r="D766" s="1">
        <v>44887</v>
      </c>
      <c r="E766" t="s">
        <v>13</v>
      </c>
      <c r="F766" t="s">
        <v>35</v>
      </c>
      <c r="G766">
        <v>645</v>
      </c>
      <c r="H766" s="3">
        <v>35.049999999999997</v>
      </c>
      <c r="I766" s="3">
        <v>30.88</v>
      </c>
      <c r="J766">
        <v>27</v>
      </c>
      <c r="K766" t="s">
        <v>15</v>
      </c>
      <c r="L766">
        <f t="shared" si="55"/>
        <v>7</v>
      </c>
      <c r="M766" s="3">
        <f>Table1[[#This Row],[Quantity]]*Table1[[#This Row],[Negotiated_Price]]</f>
        <v>19917.599999999999</v>
      </c>
      <c r="N766" s="3">
        <f>Table1[[#This Row],[Quantity]]*Table1[[#This Row],[Unit_Price]]</f>
        <v>22607.249999999996</v>
      </c>
      <c r="O766" s="3">
        <f>Table1[[#This Row],[ Original_Spend ]]-Table1[[#This Row],[ Total_Spend ]]</f>
        <v>2689.6499999999978</v>
      </c>
      <c r="P766" s="2">
        <f t="shared" si="56"/>
        <v>0.11897289586305271</v>
      </c>
      <c r="Q766" s="2">
        <f t="shared" si="57"/>
        <v>4.1860465116279069E-2</v>
      </c>
      <c r="R766" t="str">
        <f t="shared" si="58"/>
        <v>Pending</v>
      </c>
      <c r="S766" t="str">
        <f t="shared" si="59"/>
        <v>Status-Date Conflict</v>
      </c>
    </row>
    <row r="767" spans="1:19" x14ac:dyDescent="0.25">
      <c r="A767" t="s">
        <v>792</v>
      </c>
      <c r="B767" t="s">
        <v>20</v>
      </c>
      <c r="C767" s="1">
        <v>44672</v>
      </c>
      <c r="D767" s="1">
        <v>44685</v>
      </c>
      <c r="E767" t="s">
        <v>39</v>
      </c>
      <c r="F767" t="s">
        <v>14</v>
      </c>
      <c r="G767">
        <v>1953</v>
      </c>
      <c r="H767" s="3">
        <v>68.069999999999993</v>
      </c>
      <c r="I767" s="3">
        <v>62.95</v>
      </c>
      <c r="J767">
        <v>87</v>
      </c>
      <c r="K767" t="s">
        <v>15</v>
      </c>
      <c r="L767">
        <f t="shared" si="55"/>
        <v>13</v>
      </c>
      <c r="M767" s="3">
        <f>Table1[[#This Row],[Quantity]]*Table1[[#This Row],[Negotiated_Price]]</f>
        <v>122941.35</v>
      </c>
      <c r="N767" s="3">
        <f>Table1[[#This Row],[Quantity]]*Table1[[#This Row],[Unit_Price]]</f>
        <v>132940.71</v>
      </c>
      <c r="O767" s="3">
        <f>Table1[[#This Row],[ Original_Spend ]]-Table1[[#This Row],[ Total_Spend ]]</f>
        <v>9999.359999999986</v>
      </c>
      <c r="P767" s="2">
        <f t="shared" si="56"/>
        <v>7.5216688702805831E-2</v>
      </c>
      <c r="Q767" s="2">
        <f t="shared" si="57"/>
        <v>4.4546850998463901E-2</v>
      </c>
      <c r="R767" t="str">
        <f t="shared" si="58"/>
        <v>Cancelled</v>
      </c>
      <c r="S767" t="str">
        <f t="shared" si="59"/>
        <v>Status-Date Conflict</v>
      </c>
    </row>
    <row r="768" spans="1:19" x14ac:dyDescent="0.25">
      <c r="A768" t="s">
        <v>793</v>
      </c>
      <c r="B768" t="s">
        <v>20</v>
      </c>
      <c r="C768" s="1">
        <v>45154</v>
      </c>
      <c r="D768" s="1">
        <v>45171</v>
      </c>
      <c r="E768" t="s">
        <v>39</v>
      </c>
      <c r="F768" t="s">
        <v>18</v>
      </c>
      <c r="G768">
        <v>778</v>
      </c>
      <c r="H768" s="3">
        <v>64.17</v>
      </c>
      <c r="I768" s="3">
        <v>61.6</v>
      </c>
      <c r="J768">
        <v>47</v>
      </c>
      <c r="K768" t="s">
        <v>15</v>
      </c>
      <c r="L768">
        <f t="shared" si="55"/>
        <v>17</v>
      </c>
      <c r="M768" s="3">
        <f>Table1[[#This Row],[Quantity]]*Table1[[#This Row],[Negotiated_Price]]</f>
        <v>47924.800000000003</v>
      </c>
      <c r="N768" s="3">
        <f>Table1[[#This Row],[Quantity]]*Table1[[#This Row],[Unit_Price]]</f>
        <v>49924.26</v>
      </c>
      <c r="O768" s="3">
        <f>Table1[[#This Row],[ Original_Spend ]]-Table1[[#This Row],[ Total_Spend ]]</f>
        <v>1999.4599999999991</v>
      </c>
      <c r="P768" s="2">
        <f t="shared" si="56"/>
        <v>4.004986753934859E-2</v>
      </c>
      <c r="Q768" s="2">
        <f t="shared" si="57"/>
        <v>6.0411311053984576E-2</v>
      </c>
      <c r="R768" t="str">
        <f t="shared" si="58"/>
        <v>Late</v>
      </c>
      <c r="S768" t="str">
        <f t="shared" si="59"/>
        <v>OK</v>
      </c>
    </row>
    <row r="769" spans="1:19" x14ac:dyDescent="0.25">
      <c r="A769" t="s">
        <v>794</v>
      </c>
      <c r="B769" t="s">
        <v>29</v>
      </c>
      <c r="C769" s="1">
        <v>44588</v>
      </c>
      <c r="D769" s="1">
        <v>44601</v>
      </c>
      <c r="E769" t="s">
        <v>13</v>
      </c>
      <c r="F769" t="s">
        <v>18</v>
      </c>
      <c r="G769">
        <v>1415</v>
      </c>
      <c r="H769" s="3">
        <v>80.19</v>
      </c>
      <c r="I769" s="3">
        <v>78.34</v>
      </c>
      <c r="K769" t="s">
        <v>15</v>
      </c>
      <c r="L769">
        <f t="shared" si="55"/>
        <v>13</v>
      </c>
      <c r="M769" s="3">
        <f>Table1[[#This Row],[Quantity]]*Table1[[#This Row],[Negotiated_Price]]</f>
        <v>110851.1</v>
      </c>
      <c r="N769" s="3">
        <f>Table1[[#This Row],[Quantity]]*Table1[[#This Row],[Unit_Price]]</f>
        <v>113468.84999999999</v>
      </c>
      <c r="O769" s="3">
        <f>Table1[[#This Row],[ Original_Spend ]]-Table1[[#This Row],[ Total_Spend ]]</f>
        <v>2617.7499999999854</v>
      </c>
      <c r="P769" s="2">
        <f t="shared" si="56"/>
        <v>2.3070208255393312E-2</v>
      </c>
      <c r="Q769" s="2">
        <f t="shared" si="57"/>
        <v>0</v>
      </c>
      <c r="R769" t="str">
        <f t="shared" si="58"/>
        <v>Late</v>
      </c>
      <c r="S769" t="str">
        <f t="shared" si="59"/>
        <v>OK</v>
      </c>
    </row>
    <row r="770" spans="1:19" x14ac:dyDescent="0.25">
      <c r="A770" t="s">
        <v>795</v>
      </c>
      <c r="B770" t="s">
        <v>20</v>
      </c>
      <c r="C770" s="1">
        <v>44881</v>
      </c>
      <c r="D770" s="1">
        <v>44887</v>
      </c>
      <c r="E770" t="s">
        <v>26</v>
      </c>
      <c r="F770" t="s">
        <v>18</v>
      </c>
      <c r="G770">
        <v>446</v>
      </c>
      <c r="H770" s="3">
        <v>20.61</v>
      </c>
      <c r="I770" s="3">
        <v>19.46</v>
      </c>
      <c r="J770">
        <v>14</v>
      </c>
      <c r="K770" t="s">
        <v>15</v>
      </c>
      <c r="L770">
        <f t="shared" ref="L770:L778" si="60">IF(OR(C770="",D770=""),"",D770-C770)</f>
        <v>6</v>
      </c>
      <c r="M770" s="3">
        <f>Table1[[#This Row],[Quantity]]*Table1[[#This Row],[Negotiated_Price]]</f>
        <v>8679.16</v>
      </c>
      <c r="N770" s="3">
        <f>Table1[[#This Row],[Quantity]]*Table1[[#This Row],[Unit_Price]]</f>
        <v>9192.06</v>
      </c>
      <c r="O770" s="3">
        <f>Table1[[#This Row],[ Original_Spend ]]-Table1[[#This Row],[ Total_Spend ]]</f>
        <v>512.89999999999964</v>
      </c>
      <c r="P770" s="2">
        <f t="shared" ref="P770:P778" si="61">IFERROR(O770/N770,0)</f>
        <v>5.5798156234837422E-2</v>
      </c>
      <c r="Q770" s="2">
        <f t="shared" ref="Q770:Q778" si="62">IFERROR(J770/G770,0)</f>
        <v>3.1390134529147982E-2</v>
      </c>
      <c r="R770" t="str">
        <f t="shared" si="58"/>
        <v>On Time</v>
      </c>
      <c r="S770" t="str">
        <f t="shared" si="59"/>
        <v>OK</v>
      </c>
    </row>
    <row r="771" spans="1:19" x14ac:dyDescent="0.25">
      <c r="A771" t="s">
        <v>796</v>
      </c>
      <c r="B771" t="s">
        <v>29</v>
      </c>
      <c r="C771" s="1">
        <v>45151</v>
      </c>
      <c r="E771" t="s">
        <v>13</v>
      </c>
      <c r="F771" t="s">
        <v>18</v>
      </c>
      <c r="G771">
        <v>748</v>
      </c>
      <c r="H771" s="3">
        <v>85.95</v>
      </c>
      <c r="I771" s="3">
        <v>79.16</v>
      </c>
      <c r="J771">
        <v>32</v>
      </c>
      <c r="K771" t="s">
        <v>15</v>
      </c>
      <c r="L771" t="str">
        <f t="shared" si="60"/>
        <v/>
      </c>
      <c r="M771" s="3">
        <f>Table1[[#This Row],[Quantity]]*Table1[[#This Row],[Negotiated_Price]]</f>
        <v>59211.68</v>
      </c>
      <c r="N771" s="3">
        <f>Table1[[#This Row],[Quantity]]*Table1[[#This Row],[Unit_Price]]</f>
        <v>64290.6</v>
      </c>
      <c r="O771" s="3">
        <f>Table1[[#This Row],[ Original_Spend ]]-Table1[[#This Row],[ Total_Spend ]]</f>
        <v>5078.9199999999983</v>
      </c>
      <c r="P771" s="2">
        <f t="shared" si="61"/>
        <v>7.8999418266433946E-2</v>
      </c>
      <c r="Q771" s="2">
        <f t="shared" si="62"/>
        <v>4.2780748663101602E-2</v>
      </c>
      <c r="R771" t="str">
        <f t="shared" ref="R771:R778" si="63">IF(F771&lt;&gt;"Delivered",F771,IF(D771="","Missing Delivery Date",IF(L771&lt;=10,"On Time","Late")))</f>
        <v>Missing Delivery Date</v>
      </c>
      <c r="S771" t="str">
        <f t="shared" ref="S771:S778" si="64">IF(AND(F771&lt;&gt;"Delivered",D771&lt;&gt;""),"Status-Date Conflict",IF(AND(F771="Delivered",D771=""),"Missing Delivery Date","OK"))</f>
        <v>Missing Delivery Date</v>
      </c>
    </row>
    <row r="772" spans="1:19" x14ac:dyDescent="0.25">
      <c r="A772" t="s">
        <v>797</v>
      </c>
      <c r="B772" t="s">
        <v>12</v>
      </c>
      <c r="C772" s="1">
        <v>45255</v>
      </c>
      <c r="D772" s="1">
        <v>45263</v>
      </c>
      <c r="E772" t="s">
        <v>39</v>
      </c>
      <c r="F772" t="s">
        <v>35</v>
      </c>
      <c r="G772">
        <v>1092</v>
      </c>
      <c r="H772" s="3">
        <v>65.17</v>
      </c>
      <c r="I772" s="3">
        <v>63.11</v>
      </c>
      <c r="J772">
        <v>21</v>
      </c>
      <c r="K772" t="s">
        <v>15</v>
      </c>
      <c r="L772">
        <f t="shared" si="60"/>
        <v>8</v>
      </c>
      <c r="M772" s="3">
        <f>Table1[[#This Row],[Quantity]]*Table1[[#This Row],[Negotiated_Price]]</f>
        <v>68916.12</v>
      </c>
      <c r="N772" s="3">
        <f>Table1[[#This Row],[Quantity]]*Table1[[#This Row],[Unit_Price]]</f>
        <v>71165.64</v>
      </c>
      <c r="O772" s="3">
        <f>Table1[[#This Row],[ Original_Spend ]]-Table1[[#This Row],[ Total_Spend ]]</f>
        <v>2249.5200000000041</v>
      </c>
      <c r="P772" s="2">
        <f t="shared" si="61"/>
        <v>3.1609636335737358E-2</v>
      </c>
      <c r="Q772" s="2">
        <f t="shared" si="62"/>
        <v>1.9230769230769232E-2</v>
      </c>
      <c r="R772" t="str">
        <f t="shared" si="63"/>
        <v>Pending</v>
      </c>
      <c r="S772" t="str">
        <f t="shared" si="64"/>
        <v>Status-Date Conflict</v>
      </c>
    </row>
    <row r="773" spans="1:19" x14ac:dyDescent="0.25">
      <c r="A773" t="s">
        <v>798</v>
      </c>
      <c r="B773" t="s">
        <v>23</v>
      </c>
      <c r="C773" s="1">
        <v>44946</v>
      </c>
      <c r="D773" s="1">
        <v>44959</v>
      </c>
      <c r="E773" t="s">
        <v>39</v>
      </c>
      <c r="F773" t="s">
        <v>18</v>
      </c>
      <c r="G773">
        <v>226</v>
      </c>
      <c r="H773" s="3">
        <v>102.47</v>
      </c>
      <c r="I773" s="3">
        <v>99.16</v>
      </c>
      <c r="J773">
        <v>28</v>
      </c>
      <c r="K773" t="s">
        <v>15</v>
      </c>
      <c r="L773">
        <f t="shared" si="60"/>
        <v>13</v>
      </c>
      <c r="M773" s="3">
        <f>Table1[[#This Row],[Quantity]]*Table1[[#This Row],[Negotiated_Price]]</f>
        <v>22410.16</v>
      </c>
      <c r="N773" s="3">
        <f>Table1[[#This Row],[Quantity]]*Table1[[#This Row],[Unit_Price]]</f>
        <v>23158.22</v>
      </c>
      <c r="O773" s="3">
        <f>Table1[[#This Row],[ Original_Spend ]]-Table1[[#This Row],[ Total_Spend ]]</f>
        <v>748.06000000000131</v>
      </c>
      <c r="P773" s="2">
        <f t="shared" si="61"/>
        <v>3.2302137210891049E-2</v>
      </c>
      <c r="Q773" s="2">
        <f t="shared" si="62"/>
        <v>0.12389380530973451</v>
      </c>
      <c r="R773" t="str">
        <f t="shared" si="63"/>
        <v>Late</v>
      </c>
      <c r="S773" t="str">
        <f t="shared" si="64"/>
        <v>OK</v>
      </c>
    </row>
    <row r="774" spans="1:19" x14ac:dyDescent="0.25">
      <c r="A774" t="s">
        <v>799</v>
      </c>
      <c r="B774" t="s">
        <v>17</v>
      </c>
      <c r="C774" s="1">
        <v>44968</v>
      </c>
      <c r="D774" s="1">
        <v>44977</v>
      </c>
      <c r="E774" t="s">
        <v>39</v>
      </c>
      <c r="F774" t="s">
        <v>18</v>
      </c>
      <c r="G774">
        <v>1685</v>
      </c>
      <c r="H774" s="3">
        <v>43.42</v>
      </c>
      <c r="I774" s="3">
        <v>42.24</v>
      </c>
      <c r="J774">
        <v>262</v>
      </c>
      <c r="K774" t="s">
        <v>15</v>
      </c>
      <c r="L774">
        <f t="shared" si="60"/>
        <v>9</v>
      </c>
      <c r="M774" s="3">
        <f>Table1[[#This Row],[Quantity]]*Table1[[#This Row],[Negotiated_Price]]</f>
        <v>71174.400000000009</v>
      </c>
      <c r="N774" s="3">
        <f>Table1[[#This Row],[Quantity]]*Table1[[#This Row],[Unit_Price]]</f>
        <v>73162.7</v>
      </c>
      <c r="O774" s="3">
        <f>Table1[[#This Row],[ Original_Spend ]]-Table1[[#This Row],[ Total_Spend ]]</f>
        <v>1988.2999999999884</v>
      </c>
      <c r="P774" s="2">
        <f t="shared" si="61"/>
        <v>2.7176416397973125E-2</v>
      </c>
      <c r="Q774" s="2">
        <f t="shared" si="62"/>
        <v>0.15548961424332344</v>
      </c>
      <c r="R774" t="str">
        <f t="shared" si="63"/>
        <v>On Time</v>
      </c>
      <c r="S774" t="str">
        <f t="shared" si="64"/>
        <v>OK</v>
      </c>
    </row>
    <row r="775" spans="1:19" x14ac:dyDescent="0.25">
      <c r="A775" t="s">
        <v>800</v>
      </c>
      <c r="B775" t="s">
        <v>12</v>
      </c>
      <c r="C775" s="1">
        <v>44765</v>
      </c>
      <c r="E775" t="s">
        <v>13</v>
      </c>
      <c r="F775" t="s">
        <v>18</v>
      </c>
      <c r="G775">
        <v>445</v>
      </c>
      <c r="H775" s="3">
        <v>68.94</v>
      </c>
      <c r="I775" s="3">
        <v>60.35</v>
      </c>
      <c r="J775">
        <v>7</v>
      </c>
      <c r="K775" t="s">
        <v>15</v>
      </c>
      <c r="L775" t="str">
        <f t="shared" si="60"/>
        <v/>
      </c>
      <c r="M775" s="3">
        <f>Table1[[#This Row],[Quantity]]*Table1[[#This Row],[Negotiated_Price]]</f>
        <v>26855.75</v>
      </c>
      <c r="N775" s="3">
        <f>Table1[[#This Row],[Quantity]]*Table1[[#This Row],[Unit_Price]]</f>
        <v>30678.3</v>
      </c>
      <c r="O775" s="3">
        <f>Table1[[#This Row],[ Original_Spend ]]-Table1[[#This Row],[ Total_Spend ]]</f>
        <v>3822.5499999999993</v>
      </c>
      <c r="P775" s="2">
        <f t="shared" si="61"/>
        <v>0.12460110240789089</v>
      </c>
      <c r="Q775" s="2">
        <f t="shared" si="62"/>
        <v>1.5730337078651686E-2</v>
      </c>
      <c r="R775" t="str">
        <f t="shared" si="63"/>
        <v>Missing Delivery Date</v>
      </c>
      <c r="S775" t="str">
        <f t="shared" si="64"/>
        <v>Missing Delivery Date</v>
      </c>
    </row>
    <row r="776" spans="1:19" x14ac:dyDescent="0.25">
      <c r="A776" t="s">
        <v>801</v>
      </c>
      <c r="B776" t="s">
        <v>20</v>
      </c>
      <c r="C776" s="1">
        <v>44639</v>
      </c>
      <c r="D776" s="1">
        <v>44658</v>
      </c>
      <c r="E776" t="s">
        <v>26</v>
      </c>
      <c r="F776" t="s">
        <v>18</v>
      </c>
      <c r="G776">
        <v>494</v>
      </c>
      <c r="H776" s="3">
        <v>94.82</v>
      </c>
      <c r="I776" s="3">
        <v>81.89</v>
      </c>
      <c r="J776">
        <v>29</v>
      </c>
      <c r="K776" t="s">
        <v>15</v>
      </c>
      <c r="L776">
        <f t="shared" si="60"/>
        <v>19</v>
      </c>
      <c r="M776" s="3">
        <f>Table1[[#This Row],[Quantity]]*Table1[[#This Row],[Negotiated_Price]]</f>
        <v>40453.660000000003</v>
      </c>
      <c r="N776" s="3">
        <f>Table1[[#This Row],[Quantity]]*Table1[[#This Row],[Unit_Price]]</f>
        <v>46841.079999999994</v>
      </c>
      <c r="O776" s="3">
        <f>Table1[[#This Row],[ Original_Spend ]]-Table1[[#This Row],[ Total_Spend ]]</f>
        <v>6387.419999999991</v>
      </c>
      <c r="P776" s="2">
        <f t="shared" si="61"/>
        <v>0.13636363636363619</v>
      </c>
      <c r="Q776" s="2">
        <f t="shared" si="62"/>
        <v>5.8704453441295545E-2</v>
      </c>
      <c r="R776" t="str">
        <f t="shared" si="63"/>
        <v>Late</v>
      </c>
      <c r="S776" t="str">
        <f t="shared" si="64"/>
        <v>OK</v>
      </c>
    </row>
    <row r="777" spans="1:19" x14ac:dyDescent="0.25">
      <c r="A777" t="s">
        <v>802</v>
      </c>
      <c r="B777" t="s">
        <v>23</v>
      </c>
      <c r="C777" s="1">
        <v>45168</v>
      </c>
      <c r="D777" s="1">
        <v>45180</v>
      </c>
      <c r="E777" t="s">
        <v>21</v>
      </c>
      <c r="F777" t="s">
        <v>18</v>
      </c>
      <c r="G777">
        <v>1306</v>
      </c>
      <c r="H777" s="3">
        <v>21.05</v>
      </c>
      <c r="I777" s="3">
        <v>18.27</v>
      </c>
      <c r="J777">
        <v>128</v>
      </c>
      <c r="K777" t="s">
        <v>15</v>
      </c>
      <c r="L777">
        <f t="shared" si="60"/>
        <v>12</v>
      </c>
      <c r="M777" s="3">
        <f>Table1[[#This Row],[Quantity]]*Table1[[#This Row],[Negotiated_Price]]</f>
        <v>23860.62</v>
      </c>
      <c r="N777" s="3">
        <f>Table1[[#This Row],[Quantity]]*Table1[[#This Row],[Unit_Price]]</f>
        <v>27491.3</v>
      </c>
      <c r="O777" s="3">
        <f>Table1[[#This Row],[ Original_Spend ]]-Table1[[#This Row],[ Total_Spend ]]</f>
        <v>3630.6800000000003</v>
      </c>
      <c r="P777" s="2">
        <f t="shared" si="61"/>
        <v>0.13206650831353919</v>
      </c>
      <c r="Q777" s="2">
        <f t="shared" si="62"/>
        <v>9.8009188361408886E-2</v>
      </c>
      <c r="R777" t="str">
        <f t="shared" si="63"/>
        <v>Late</v>
      </c>
      <c r="S777" t="str">
        <f t="shared" si="64"/>
        <v>OK</v>
      </c>
    </row>
    <row r="778" spans="1:19" x14ac:dyDescent="0.25">
      <c r="A778" t="s">
        <v>803</v>
      </c>
      <c r="B778" t="s">
        <v>23</v>
      </c>
      <c r="C778" s="1">
        <v>45269</v>
      </c>
      <c r="D778" s="1">
        <v>45271</v>
      </c>
      <c r="E778" t="s">
        <v>13</v>
      </c>
      <c r="F778" t="s">
        <v>18</v>
      </c>
      <c r="G778">
        <v>1988</v>
      </c>
      <c r="H778" s="3">
        <v>105.2</v>
      </c>
      <c r="I778" s="3">
        <v>93.23</v>
      </c>
      <c r="J778">
        <v>187</v>
      </c>
      <c r="K778" t="s">
        <v>15</v>
      </c>
      <c r="L778">
        <f t="shared" si="60"/>
        <v>2</v>
      </c>
      <c r="M778" s="3">
        <f>Table1[[#This Row],[Quantity]]*Table1[[#This Row],[Negotiated_Price]]</f>
        <v>185341.24000000002</v>
      </c>
      <c r="N778" s="3">
        <f>Table1[[#This Row],[Quantity]]*Table1[[#This Row],[Unit_Price]]</f>
        <v>209137.6</v>
      </c>
      <c r="O778" s="3">
        <f>Table1[[#This Row],[ Original_Spend ]]-Table1[[#This Row],[ Total_Spend ]]</f>
        <v>23796.359999999986</v>
      </c>
      <c r="P778" s="2">
        <f t="shared" si="61"/>
        <v>0.11378326996197712</v>
      </c>
      <c r="Q778" s="2">
        <f t="shared" si="62"/>
        <v>9.406438631790745E-2</v>
      </c>
      <c r="R778" t="str">
        <f t="shared" si="63"/>
        <v>On Time</v>
      </c>
      <c r="S778" t="str">
        <f t="shared" si="64"/>
        <v>OK</v>
      </c>
    </row>
  </sheetData>
  <conditionalFormatting sqref="L1">
    <cfRule type="colorScale" priority="10">
      <colorScale>
        <cfvo type="min"/>
        <cfvo type="percentile" val="50"/>
        <cfvo type="max"/>
        <color rgb="FFF8696B"/>
        <color rgb="FFFFEB84"/>
        <color rgb="FF63BE7B"/>
      </colorScale>
    </cfRule>
  </conditionalFormatting>
  <conditionalFormatting sqref="P1:P1048576">
    <cfRule type="colorScale" priority="1">
      <colorScale>
        <cfvo type="min"/>
        <cfvo type="max"/>
        <color rgb="FFFCFCFF"/>
        <color rgb="FF63BE7B"/>
      </colorScale>
    </cfRule>
  </conditionalFormatting>
  <conditionalFormatting sqref="Q1:Q1048576">
    <cfRule type="colorScale" priority="2">
      <colorScale>
        <cfvo type="min"/>
        <cfvo type="percentile" val="50"/>
        <cfvo type="max"/>
        <color rgb="FF63BE7B"/>
        <color rgb="FFFCFCFF"/>
        <color rgb="FFF8696B"/>
      </colorScale>
    </cfRule>
    <cfRule type="colorScale" priority="3">
      <colorScale>
        <cfvo type="min"/>
        <cfvo type="max"/>
        <color rgb="FFFCFCFF"/>
        <color rgb="FFF8696B"/>
      </colorScale>
    </cfRule>
  </conditionalFormatting>
  <conditionalFormatting sqref="R1">
    <cfRule type="containsText" dxfId="215" priority="7" operator="containsText" text="pending">
      <formula>NOT(ISERROR(SEARCH("pending",R1)))</formula>
    </cfRule>
    <cfRule type="containsText" dxfId="214" priority="8" operator="containsText" text="on time">
      <formula>NOT(ISERROR(SEARCH("on time",R1)))</formula>
    </cfRule>
    <cfRule type="containsText" dxfId="213" priority="9" operator="containsText" text="LATE">
      <formula>NOT(ISERROR(SEARCH("LATE",R1)))</formula>
    </cfRule>
  </conditionalFormatting>
  <conditionalFormatting sqref="R1:R1048576">
    <cfRule type="containsText" dxfId="212" priority="4" operator="containsText" text="pending">
      <formula>NOT(ISERROR(SEARCH("pending",R1)))</formula>
    </cfRule>
    <cfRule type="containsText" dxfId="211" priority="5" operator="containsText" text="on time">
      <formula>NOT(ISERROR(SEARCH("on time",R1)))</formula>
    </cfRule>
    <cfRule type="containsText" dxfId="210" priority="6" operator="containsText" text="late">
      <formula>NOT(ISERROR(SEARCH("late",R1)))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A8040-D97A-4BFA-B238-3C2858438E27}">
  <dimension ref="A1:E18"/>
  <sheetViews>
    <sheetView workbookViewId="0">
      <selection sqref="A1:B10"/>
    </sheetView>
  </sheetViews>
  <sheetFormatPr defaultRowHeight="15" x14ac:dyDescent="0.25"/>
  <cols>
    <col min="1" max="1" width="55.140625" bestFit="1" customWidth="1"/>
    <col min="2" max="2" width="15.7109375" bestFit="1" customWidth="1"/>
    <col min="3" max="3" width="15" bestFit="1" customWidth="1"/>
    <col min="5" max="5" width="15.7109375" bestFit="1" customWidth="1"/>
  </cols>
  <sheetData>
    <row r="1" spans="1:5" x14ac:dyDescent="0.25">
      <c r="A1" s="11"/>
      <c r="B1" s="11"/>
    </row>
    <row r="2" spans="1:5" x14ac:dyDescent="0.25">
      <c r="A2" s="12" t="s">
        <v>829</v>
      </c>
      <c r="B2" s="8">
        <f>SUM('Procurement KPI Analysis Datase'!M:M)</f>
        <v>45373696.390000008</v>
      </c>
    </row>
    <row r="3" spans="1:5" x14ac:dyDescent="0.25">
      <c r="A3" s="12" t="s">
        <v>828</v>
      </c>
      <c r="B3" s="85">
        <v>777</v>
      </c>
    </row>
    <row r="4" spans="1:5" x14ac:dyDescent="0.25">
      <c r="A4" s="12" t="s">
        <v>827</v>
      </c>
      <c r="B4" s="8">
        <f>SUM('Procurement KPI Analysis Datase'!O:O)</f>
        <v>3931126.4699999993</v>
      </c>
      <c r="E4" s="16">
        <v>45373696.390000001</v>
      </c>
    </row>
    <row r="5" spans="1:5" x14ac:dyDescent="0.25">
      <c r="A5" s="12" t="s">
        <v>830</v>
      </c>
      <c r="B5" s="9">
        <v>7.9699999999999993E-2</v>
      </c>
    </row>
    <row r="6" spans="1:5" x14ac:dyDescent="0.25">
      <c r="A6" s="12" t="s">
        <v>831</v>
      </c>
      <c r="B6" s="9">
        <v>0.17499999999999999</v>
      </c>
    </row>
    <row r="7" spans="1:5" x14ac:dyDescent="0.25">
      <c r="A7" s="12" t="s">
        <v>832</v>
      </c>
      <c r="B7" s="96">
        <v>47949</v>
      </c>
    </row>
    <row r="8" spans="1:5" x14ac:dyDescent="0.25">
      <c r="A8" s="12" t="s">
        <v>833</v>
      </c>
      <c r="B8" s="97">
        <v>0.104</v>
      </c>
    </row>
    <row r="9" spans="1:5" x14ac:dyDescent="0.25">
      <c r="A9" s="12" t="s">
        <v>834</v>
      </c>
      <c r="B9" s="97">
        <v>0.82399999999999995</v>
      </c>
    </row>
    <row r="10" spans="1:5" x14ac:dyDescent="0.25">
      <c r="A10" s="12" t="s">
        <v>842</v>
      </c>
      <c r="B10" s="85">
        <v>72.099999999999994</v>
      </c>
    </row>
    <row r="12" spans="1:5" ht="15.75" x14ac:dyDescent="0.25">
      <c r="A12" s="13" t="s">
        <v>841</v>
      </c>
    </row>
    <row r="13" spans="1:5" x14ac:dyDescent="0.25">
      <c r="A13" s="10" t="s">
        <v>835</v>
      </c>
    </row>
    <row r="14" spans="1:5" x14ac:dyDescent="0.25">
      <c r="A14" s="10" t="s">
        <v>836</v>
      </c>
    </row>
    <row r="15" spans="1:5" x14ac:dyDescent="0.25">
      <c r="A15" s="10" t="s">
        <v>837</v>
      </c>
    </row>
    <row r="16" spans="1:5" x14ac:dyDescent="0.25">
      <c r="A16" s="10" t="s">
        <v>838</v>
      </c>
    </row>
    <row r="17" spans="1:1" x14ac:dyDescent="0.25">
      <c r="A17" s="10" t="s">
        <v>839</v>
      </c>
    </row>
    <row r="18" spans="1:1" x14ac:dyDescent="0.25">
      <c r="A18" s="10" t="s">
        <v>840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0BF45-A664-4881-81E8-69E72E020D43}">
  <dimension ref="A3:C16"/>
  <sheetViews>
    <sheetView workbookViewId="0">
      <selection activeCell="I17" sqref="I17"/>
    </sheetView>
  </sheetViews>
  <sheetFormatPr defaultRowHeight="15" x14ac:dyDescent="0.25"/>
  <cols>
    <col min="1" max="1" width="13.42578125" bestFit="1" customWidth="1"/>
    <col min="2" max="2" width="20.28515625" bestFit="1" customWidth="1"/>
    <col min="3" max="3" width="26.85546875" bestFit="1" customWidth="1"/>
  </cols>
  <sheetData>
    <row r="3" spans="1:3" x14ac:dyDescent="0.25">
      <c r="A3" s="77" t="s">
        <v>811</v>
      </c>
      <c r="B3" s="78" t="s">
        <v>870</v>
      </c>
      <c r="C3" s="78" t="s">
        <v>848</v>
      </c>
    </row>
    <row r="4" spans="1:3" x14ac:dyDescent="0.25">
      <c r="A4" s="79" t="s">
        <v>844</v>
      </c>
      <c r="B4" s="78">
        <v>55.283131313131314</v>
      </c>
      <c r="C4" s="78">
        <v>50.917929292929294</v>
      </c>
    </row>
    <row r="5" spans="1:3" x14ac:dyDescent="0.25">
      <c r="A5" s="80" t="s">
        <v>849</v>
      </c>
      <c r="B5" s="78">
        <v>52.261919191919198</v>
      </c>
      <c r="C5" s="78">
        <v>48.209393939393934</v>
      </c>
    </row>
    <row r="6" spans="1:3" x14ac:dyDescent="0.25">
      <c r="A6" s="80" t="s">
        <v>850</v>
      </c>
      <c r="B6" s="78">
        <v>53.368829787234041</v>
      </c>
      <c r="C6" s="78">
        <v>49.071595744680849</v>
      </c>
    </row>
    <row r="7" spans="1:3" x14ac:dyDescent="0.25">
      <c r="A7" s="80" t="s">
        <v>851</v>
      </c>
      <c r="B7" s="78">
        <v>57.16424778761062</v>
      </c>
      <c r="C7" s="78">
        <v>52.961592920353979</v>
      </c>
    </row>
    <row r="8" spans="1:3" x14ac:dyDescent="0.25">
      <c r="A8" s="80" t="s">
        <v>852</v>
      </c>
      <c r="B8" s="78">
        <v>58.244</v>
      </c>
      <c r="C8" s="78">
        <v>53.259777777777778</v>
      </c>
    </row>
    <row r="9" spans="1:3" x14ac:dyDescent="0.25">
      <c r="A9" s="79" t="s">
        <v>845</v>
      </c>
      <c r="B9" s="78">
        <v>61.340949868073885</v>
      </c>
      <c r="C9" s="78">
        <v>56.458707124010552</v>
      </c>
    </row>
    <row r="10" spans="1:3" x14ac:dyDescent="0.25">
      <c r="A10" s="80" t="s">
        <v>849</v>
      </c>
      <c r="B10" s="78">
        <v>65.076185567010313</v>
      </c>
      <c r="C10" s="78">
        <v>59.874226804123715</v>
      </c>
    </row>
    <row r="11" spans="1:3" x14ac:dyDescent="0.25">
      <c r="A11" s="80" t="s">
        <v>850</v>
      </c>
      <c r="B11" s="78">
        <v>61.389620253164551</v>
      </c>
      <c r="C11" s="78">
        <v>56.713417721518987</v>
      </c>
    </row>
    <row r="12" spans="1:3" x14ac:dyDescent="0.25">
      <c r="A12" s="80" t="s">
        <v>851</v>
      </c>
      <c r="B12" s="78">
        <v>58.644807692307694</v>
      </c>
      <c r="C12" s="78">
        <v>53.881730769230771</v>
      </c>
    </row>
    <row r="13" spans="1:3" x14ac:dyDescent="0.25">
      <c r="A13" s="80" t="s">
        <v>852</v>
      </c>
      <c r="B13" s="78">
        <v>60.474646464646462</v>
      </c>
      <c r="C13" s="78">
        <v>55.616060606060607</v>
      </c>
    </row>
    <row r="14" spans="1:3" x14ac:dyDescent="0.25">
      <c r="A14" s="79" t="s">
        <v>846</v>
      </c>
      <c r="B14" s="78">
        <v>73.094999999999999</v>
      </c>
      <c r="C14" s="78">
        <v>66.515000000000001</v>
      </c>
    </row>
    <row r="15" spans="1:3" x14ac:dyDescent="0.25">
      <c r="A15" s="80" t="s">
        <v>849</v>
      </c>
      <c r="B15" s="78">
        <v>73.094999999999999</v>
      </c>
      <c r="C15" s="78">
        <v>66.515000000000001</v>
      </c>
    </row>
    <row r="16" spans="1:3" x14ac:dyDescent="0.25">
      <c r="A16" s="79" t="s">
        <v>812</v>
      </c>
      <c r="B16" s="78">
        <v>58.28382239382239</v>
      </c>
      <c r="C16" s="78">
        <v>53.660720720720718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2FD37-D69B-4331-B9E5-62E80E67A460}">
  <sheetPr>
    <tabColor theme="3"/>
  </sheetPr>
  <dimension ref="A1:AD42"/>
  <sheetViews>
    <sheetView zoomScale="80" zoomScaleNormal="80" workbookViewId="0">
      <selection sqref="A1:F1"/>
    </sheetView>
  </sheetViews>
  <sheetFormatPr defaultRowHeight="15" x14ac:dyDescent="0.25"/>
  <cols>
    <col min="1" max="1" width="17.28515625" bestFit="1" customWidth="1"/>
    <col min="2" max="2" width="21.42578125" bestFit="1" customWidth="1"/>
    <col min="3" max="3" width="26.85546875" bestFit="1" customWidth="1"/>
    <col min="4" max="4" width="20" bestFit="1" customWidth="1"/>
    <col min="5" max="5" width="15.5703125" bestFit="1" customWidth="1"/>
    <col min="6" max="6" width="22.5703125" bestFit="1" customWidth="1"/>
    <col min="7" max="7" width="19.85546875" bestFit="1" customWidth="1"/>
    <col min="10" max="12" width="19.85546875" bestFit="1" customWidth="1"/>
    <col min="13" max="13" width="26.85546875" bestFit="1" customWidth="1"/>
    <col min="14" max="14" width="22.5703125" bestFit="1" customWidth="1"/>
    <col min="15" max="15" width="14.85546875" bestFit="1" customWidth="1"/>
    <col min="16" max="16" width="14.140625" bestFit="1" customWidth="1"/>
    <col min="17" max="17" width="15.7109375" bestFit="1" customWidth="1"/>
    <col min="24" max="24" width="14.28515625" bestFit="1" customWidth="1"/>
    <col min="25" max="26" width="19.85546875" bestFit="1" customWidth="1"/>
  </cols>
  <sheetData>
    <row r="1" spans="1:30" ht="19.5" x14ac:dyDescent="0.35">
      <c r="A1" s="81" t="s">
        <v>820</v>
      </c>
      <c r="B1" s="82"/>
      <c r="C1" s="82"/>
      <c r="D1" s="82"/>
      <c r="E1" s="82"/>
      <c r="F1" s="82"/>
      <c r="G1" s="83"/>
      <c r="J1" s="17" t="s">
        <v>824</v>
      </c>
      <c r="K1" s="18"/>
      <c r="L1" s="18"/>
      <c r="M1" s="18"/>
      <c r="N1" s="18"/>
      <c r="O1" s="18"/>
    </row>
    <row r="2" spans="1:30" x14ac:dyDescent="0.25">
      <c r="A2" s="84" t="s">
        <v>1</v>
      </c>
      <c r="B2" s="85" t="s">
        <v>815</v>
      </c>
      <c r="C2" s="85" t="s">
        <v>819</v>
      </c>
      <c r="D2" s="85" t="s">
        <v>818</v>
      </c>
      <c r="E2" s="85" t="s">
        <v>817</v>
      </c>
      <c r="F2" s="85" t="s">
        <v>816</v>
      </c>
      <c r="G2" s="85" t="s">
        <v>814</v>
      </c>
      <c r="J2" s="4" t="s">
        <v>822</v>
      </c>
      <c r="K2" t="s">
        <v>814</v>
      </c>
      <c r="L2" t="s">
        <v>817</v>
      </c>
      <c r="M2" t="s">
        <v>818</v>
      </c>
      <c r="N2" t="s">
        <v>816</v>
      </c>
      <c r="O2" t="s">
        <v>813</v>
      </c>
    </row>
    <row r="3" spans="1:30" x14ac:dyDescent="0.25">
      <c r="A3" s="86" t="s">
        <v>12</v>
      </c>
      <c r="B3" s="87">
        <v>10.692307692307692</v>
      </c>
      <c r="C3" s="87">
        <v>141</v>
      </c>
      <c r="D3" s="88">
        <v>688920.49000000034</v>
      </c>
      <c r="E3" s="87">
        <v>150414</v>
      </c>
      <c r="F3" s="87">
        <v>2717</v>
      </c>
      <c r="G3" s="88">
        <v>7839712.2500000028</v>
      </c>
      <c r="J3" s="5" t="s">
        <v>39</v>
      </c>
      <c r="K3" s="6">
        <v>8642550.6000000071</v>
      </c>
      <c r="L3" s="76">
        <v>164829</v>
      </c>
      <c r="M3" s="6">
        <v>742876.23</v>
      </c>
      <c r="N3" s="76">
        <v>8981</v>
      </c>
      <c r="O3" s="76">
        <v>152</v>
      </c>
    </row>
    <row r="4" spans="1:30" x14ac:dyDescent="0.25">
      <c r="A4" s="86" t="s">
        <v>23</v>
      </c>
      <c r="B4" s="87">
        <v>11.272727272727273</v>
      </c>
      <c r="C4" s="87">
        <v>156</v>
      </c>
      <c r="D4" s="88">
        <v>889940.8900000006</v>
      </c>
      <c r="E4" s="87">
        <v>180516</v>
      </c>
      <c r="F4" s="87">
        <v>13838</v>
      </c>
      <c r="G4" s="88">
        <v>9858665.9000000022</v>
      </c>
      <c r="J4" s="5" t="s">
        <v>21</v>
      </c>
      <c r="K4" s="6">
        <v>10126608.859999996</v>
      </c>
      <c r="L4" s="76">
        <v>187658</v>
      </c>
      <c r="M4" s="6">
        <v>902312.30999999982</v>
      </c>
      <c r="N4" s="76">
        <v>9741</v>
      </c>
      <c r="O4" s="76">
        <v>164</v>
      </c>
    </row>
    <row r="5" spans="1:30" ht="19.5" x14ac:dyDescent="0.35">
      <c r="A5" s="86" t="s">
        <v>17</v>
      </c>
      <c r="B5" s="87">
        <v>10.85430463576159</v>
      </c>
      <c r="C5" s="87">
        <v>171</v>
      </c>
      <c r="D5" s="88">
        <v>781976.49</v>
      </c>
      <c r="E5" s="87">
        <v>181652</v>
      </c>
      <c r="F5" s="87">
        <v>19678</v>
      </c>
      <c r="G5" s="88">
        <v>9236240.4699999988</v>
      </c>
      <c r="J5" s="5" t="s">
        <v>13</v>
      </c>
      <c r="K5" s="6">
        <v>10007583.030000001</v>
      </c>
      <c r="L5" s="76">
        <v>179936</v>
      </c>
      <c r="M5" s="6">
        <v>844096.16000000015</v>
      </c>
      <c r="N5" s="76">
        <v>11233</v>
      </c>
      <c r="O5" s="76">
        <v>174</v>
      </c>
      <c r="Y5" s="17" t="s">
        <v>847</v>
      </c>
      <c r="Z5" s="18"/>
      <c r="AA5" s="18"/>
      <c r="AB5" s="18"/>
      <c r="AC5" s="18"/>
      <c r="AD5" s="18"/>
    </row>
    <row r="6" spans="1:30" x14ac:dyDescent="0.25">
      <c r="A6" s="86" t="s">
        <v>29</v>
      </c>
      <c r="B6" s="87">
        <v>10.865771812080537</v>
      </c>
      <c r="C6" s="87">
        <v>166</v>
      </c>
      <c r="D6" s="88">
        <v>844980.17999999982</v>
      </c>
      <c r="E6" s="87">
        <v>180053</v>
      </c>
      <c r="F6" s="87">
        <v>4682</v>
      </c>
      <c r="G6" s="88">
        <v>9851156.0600000024</v>
      </c>
      <c r="J6" s="5" t="s">
        <v>24</v>
      </c>
      <c r="K6" s="6">
        <v>8125712.4799999977</v>
      </c>
      <c r="L6" s="76">
        <v>166876</v>
      </c>
      <c r="M6" s="6">
        <v>732744.52</v>
      </c>
      <c r="N6" s="76">
        <v>8352</v>
      </c>
      <c r="O6" s="76">
        <v>148</v>
      </c>
      <c r="Y6" s="4" t="s">
        <v>811</v>
      </c>
      <c r="Z6" t="s">
        <v>865</v>
      </c>
    </row>
    <row r="7" spans="1:30" x14ac:dyDescent="0.25">
      <c r="A7" s="86" t="s">
        <v>20</v>
      </c>
      <c r="B7" s="87">
        <v>10.192307692307692</v>
      </c>
      <c r="C7" s="87">
        <v>143</v>
      </c>
      <c r="D7" s="88">
        <v>725308.42000000027</v>
      </c>
      <c r="E7" s="87">
        <v>157916</v>
      </c>
      <c r="F7" s="87">
        <v>7034</v>
      </c>
      <c r="G7" s="88">
        <v>8587921.7099999972</v>
      </c>
      <c r="J7" s="5" t="s">
        <v>26</v>
      </c>
      <c r="K7" s="6">
        <v>8459237.2200000007</v>
      </c>
      <c r="L7" s="76">
        <v>151081</v>
      </c>
      <c r="M7" s="6">
        <v>707956.68000000028</v>
      </c>
      <c r="N7" s="76">
        <v>9634</v>
      </c>
      <c r="O7" s="76">
        <v>138</v>
      </c>
      <c r="Y7" s="5" t="s">
        <v>844</v>
      </c>
      <c r="Z7" s="6">
        <v>21461328.660000008</v>
      </c>
    </row>
    <row r="8" spans="1:30" x14ac:dyDescent="0.25">
      <c r="A8" s="86" t="s">
        <v>812</v>
      </c>
      <c r="B8" s="87">
        <v>10.791304347826086</v>
      </c>
      <c r="C8" s="87">
        <v>777</v>
      </c>
      <c r="D8" s="88">
        <v>3931126.469999996</v>
      </c>
      <c r="E8" s="87">
        <v>850551</v>
      </c>
      <c r="F8" s="87">
        <v>47949</v>
      </c>
      <c r="G8" s="88">
        <v>45373696.390000015</v>
      </c>
      <c r="J8" s="5" t="s">
        <v>825</v>
      </c>
      <c r="K8" s="6">
        <v>12004.2</v>
      </c>
      <c r="L8" s="76">
        <v>171</v>
      </c>
      <c r="M8" s="6">
        <v>1140.5699999999997</v>
      </c>
      <c r="N8" s="76">
        <v>8</v>
      </c>
      <c r="O8" s="76">
        <v>1</v>
      </c>
      <c r="Y8" s="5" t="s">
        <v>845</v>
      </c>
      <c r="Z8" s="6">
        <v>23743036.380000006</v>
      </c>
    </row>
    <row r="9" spans="1:30" x14ac:dyDescent="0.25">
      <c r="J9" s="5" t="s">
        <v>812</v>
      </c>
      <c r="K9" s="6">
        <v>45373696.389999971</v>
      </c>
      <c r="L9" s="76">
        <v>850551</v>
      </c>
      <c r="M9" s="6">
        <v>3931126.4699999988</v>
      </c>
      <c r="N9" s="76">
        <v>47949</v>
      </c>
      <c r="O9" s="76">
        <v>777</v>
      </c>
      <c r="Y9" s="5" t="s">
        <v>846</v>
      </c>
      <c r="Z9" s="6">
        <v>169331.34999999998</v>
      </c>
    </row>
    <row r="11" spans="1:30" ht="19.5" x14ac:dyDescent="0.35">
      <c r="A11" s="17" t="s">
        <v>823</v>
      </c>
      <c r="B11" s="18"/>
      <c r="C11" s="18"/>
      <c r="D11" s="18"/>
      <c r="E11" s="18"/>
      <c r="F11" s="18"/>
    </row>
    <row r="12" spans="1:30" x14ac:dyDescent="0.25">
      <c r="A12" s="4" t="s">
        <v>820</v>
      </c>
      <c r="B12" s="4" t="s">
        <v>821</v>
      </c>
    </row>
    <row r="13" spans="1:30" ht="19.5" x14ac:dyDescent="0.35">
      <c r="A13" s="4" t="s">
        <v>811</v>
      </c>
      <c r="B13" t="s">
        <v>14</v>
      </c>
      <c r="C13" t="s">
        <v>18</v>
      </c>
      <c r="D13" t="s">
        <v>33</v>
      </c>
      <c r="E13" t="s">
        <v>35</v>
      </c>
      <c r="F13" t="s">
        <v>812</v>
      </c>
      <c r="K13" s="17" t="s">
        <v>847</v>
      </c>
      <c r="L13" s="18"/>
      <c r="M13" s="18"/>
      <c r="N13" s="18"/>
      <c r="O13" s="18"/>
      <c r="P13" s="18"/>
    </row>
    <row r="14" spans="1:30" x14ac:dyDescent="0.25">
      <c r="A14" s="5" t="s">
        <v>12</v>
      </c>
      <c r="B14" s="76">
        <v>13</v>
      </c>
      <c r="C14" s="76">
        <v>107</v>
      </c>
      <c r="D14" s="76">
        <v>10</v>
      </c>
      <c r="E14" s="76">
        <v>11</v>
      </c>
      <c r="F14" s="76">
        <v>141</v>
      </c>
      <c r="K14" s="4" t="s">
        <v>811</v>
      </c>
      <c r="L14" t="s">
        <v>814</v>
      </c>
      <c r="M14" t="s">
        <v>848</v>
      </c>
    </row>
    <row r="15" spans="1:30" x14ac:dyDescent="0.25">
      <c r="A15" s="5" t="s">
        <v>23</v>
      </c>
      <c r="B15" s="76">
        <v>14</v>
      </c>
      <c r="C15" s="76">
        <v>110</v>
      </c>
      <c r="D15" s="76">
        <v>13</v>
      </c>
      <c r="E15" s="76">
        <v>19</v>
      </c>
      <c r="F15" s="76">
        <v>156</v>
      </c>
      <c r="I15" s="14"/>
      <c r="K15" s="5" t="s">
        <v>844</v>
      </c>
      <c r="L15" s="6"/>
      <c r="M15" s="6"/>
    </row>
    <row r="16" spans="1:30" x14ac:dyDescent="0.25">
      <c r="A16" s="5" t="s">
        <v>17</v>
      </c>
      <c r="B16" s="76">
        <v>16</v>
      </c>
      <c r="C16" s="76">
        <v>120</v>
      </c>
      <c r="D16" s="76">
        <v>18</v>
      </c>
      <c r="E16" s="76">
        <v>17</v>
      </c>
      <c r="F16" s="76">
        <v>171</v>
      </c>
      <c r="K16" s="75" t="s">
        <v>853</v>
      </c>
      <c r="L16" s="6">
        <v>1536378.9300000002</v>
      </c>
      <c r="M16" s="6">
        <v>48.464838709677409</v>
      </c>
    </row>
    <row r="17" spans="1:29" x14ac:dyDescent="0.25">
      <c r="A17" s="5" t="s">
        <v>29</v>
      </c>
      <c r="B17" s="76">
        <v>14</v>
      </c>
      <c r="C17" s="76">
        <v>120</v>
      </c>
      <c r="D17" s="76">
        <v>14</v>
      </c>
      <c r="E17" s="76">
        <v>18</v>
      </c>
      <c r="F17" s="76">
        <v>166</v>
      </c>
      <c r="K17" s="75" t="s">
        <v>854</v>
      </c>
      <c r="L17" s="6">
        <v>1377514.6600000001</v>
      </c>
      <c r="M17" s="6">
        <v>45.254814814814829</v>
      </c>
    </row>
    <row r="18" spans="1:29" ht="19.5" x14ac:dyDescent="0.35">
      <c r="A18" s="5" t="s">
        <v>20</v>
      </c>
      <c r="B18" s="76">
        <v>6</v>
      </c>
      <c r="C18" s="76">
        <v>103</v>
      </c>
      <c r="D18" s="76">
        <v>18</v>
      </c>
      <c r="E18" s="76">
        <v>16</v>
      </c>
      <c r="F18" s="76">
        <v>143</v>
      </c>
      <c r="K18" s="75" t="s">
        <v>855</v>
      </c>
      <c r="L18" s="6">
        <v>2592704.3100000005</v>
      </c>
      <c r="M18" s="6">
        <v>49.961951219512187</v>
      </c>
      <c r="X18" s="17" t="s">
        <v>866</v>
      </c>
      <c r="Y18" s="18"/>
      <c r="Z18" s="18"/>
      <c r="AA18" s="18"/>
      <c r="AB18" s="18"/>
      <c r="AC18" s="18"/>
    </row>
    <row r="19" spans="1:29" x14ac:dyDescent="0.25">
      <c r="A19" s="5" t="s">
        <v>812</v>
      </c>
      <c r="B19" s="76">
        <v>63</v>
      </c>
      <c r="C19" s="76">
        <v>560</v>
      </c>
      <c r="D19" s="76">
        <v>73</v>
      </c>
      <c r="E19" s="76">
        <v>81</v>
      </c>
      <c r="F19" s="76">
        <v>777</v>
      </c>
      <c r="K19" s="75" t="s">
        <v>856</v>
      </c>
      <c r="L19" s="6">
        <v>1928650.9099999997</v>
      </c>
      <c r="M19" s="6">
        <v>49.469714285714289</v>
      </c>
      <c r="X19" s="4" t="s">
        <v>811</v>
      </c>
      <c r="Y19" t="s">
        <v>814</v>
      </c>
    </row>
    <row r="20" spans="1:29" x14ac:dyDescent="0.25">
      <c r="K20" s="75" t="s">
        <v>857</v>
      </c>
      <c r="L20" s="6">
        <v>1181945.98</v>
      </c>
      <c r="M20" s="6">
        <v>49.394799999999996</v>
      </c>
      <c r="X20" s="5" t="s">
        <v>825</v>
      </c>
      <c r="Y20" s="6">
        <v>12004.2</v>
      </c>
    </row>
    <row r="21" spans="1:29" x14ac:dyDescent="0.25">
      <c r="A21" s="4" t="s">
        <v>811</v>
      </c>
      <c r="B21" t="s">
        <v>867</v>
      </c>
      <c r="K21" s="75" t="s">
        <v>858</v>
      </c>
      <c r="L21" s="6">
        <v>1556825.0200000003</v>
      </c>
      <c r="M21" s="6">
        <v>48.424117647058829</v>
      </c>
      <c r="X21" s="5" t="s">
        <v>39</v>
      </c>
      <c r="Y21" s="6">
        <v>8642550.6000000071</v>
      </c>
    </row>
    <row r="22" spans="1:29" x14ac:dyDescent="0.25">
      <c r="A22" s="5" t="s">
        <v>14</v>
      </c>
      <c r="B22" s="76">
        <v>63</v>
      </c>
      <c r="K22" s="75" t="s">
        <v>859</v>
      </c>
      <c r="L22" s="6">
        <v>1293596.1100000001</v>
      </c>
      <c r="M22" s="6">
        <v>51.327777777777783</v>
      </c>
      <c r="X22" s="5" t="s">
        <v>21</v>
      </c>
      <c r="Y22" s="6">
        <v>10126608.859999996</v>
      </c>
    </row>
    <row r="23" spans="1:29" x14ac:dyDescent="0.25">
      <c r="A23" s="5" t="s">
        <v>18</v>
      </c>
      <c r="B23" s="76">
        <v>560</v>
      </c>
      <c r="K23" s="75" t="s">
        <v>860</v>
      </c>
      <c r="L23" s="6">
        <v>2329232.23</v>
      </c>
      <c r="M23" s="6">
        <v>54.450465116279076</v>
      </c>
      <c r="X23" s="5" t="s">
        <v>13</v>
      </c>
      <c r="Y23" s="6">
        <v>10007583.030000001</v>
      </c>
    </row>
    <row r="24" spans="1:29" x14ac:dyDescent="0.25">
      <c r="A24" s="5" t="s">
        <v>33</v>
      </c>
      <c r="B24" s="76">
        <v>73</v>
      </c>
      <c r="K24" s="75" t="s">
        <v>861</v>
      </c>
      <c r="L24" s="6">
        <v>2175996.8899999997</v>
      </c>
      <c r="M24" s="6">
        <v>52.498604651162772</v>
      </c>
      <c r="X24" s="5" t="s">
        <v>24</v>
      </c>
      <c r="Y24" s="6">
        <v>8125712.4799999977</v>
      </c>
    </row>
    <row r="25" spans="1:29" x14ac:dyDescent="0.25">
      <c r="A25" s="5" t="s">
        <v>35</v>
      </c>
      <c r="B25" s="76">
        <v>81</v>
      </c>
      <c r="K25" s="75" t="s">
        <v>862</v>
      </c>
      <c r="L25" s="6">
        <v>1782151.4299999997</v>
      </c>
      <c r="M25" s="6">
        <v>57.390967741935484</v>
      </c>
      <c r="X25" s="5" t="s">
        <v>26</v>
      </c>
      <c r="Y25" s="6">
        <v>8459237.2200000007</v>
      </c>
    </row>
    <row r="26" spans="1:29" x14ac:dyDescent="0.25">
      <c r="A26" s="5" t="s">
        <v>812</v>
      </c>
      <c r="B26" s="76">
        <v>777</v>
      </c>
      <c r="K26" s="75" t="s">
        <v>863</v>
      </c>
      <c r="L26" s="6">
        <v>1535245.54</v>
      </c>
      <c r="M26" s="6">
        <v>49.047931034482751</v>
      </c>
    </row>
    <row r="27" spans="1:29" x14ac:dyDescent="0.25">
      <c r="K27" s="75" t="s">
        <v>864</v>
      </c>
      <c r="L27" s="6">
        <v>2171086.6500000004</v>
      </c>
      <c r="M27" s="6">
        <v>53.062333333333314</v>
      </c>
    </row>
    <row r="28" spans="1:29" x14ac:dyDescent="0.25">
      <c r="A28" s="4" t="s">
        <v>869</v>
      </c>
      <c r="B28" s="4" t="s">
        <v>868</v>
      </c>
      <c r="K28" s="5" t="s">
        <v>845</v>
      </c>
      <c r="L28" s="6"/>
      <c r="M28" s="6"/>
    </row>
    <row r="29" spans="1:29" x14ac:dyDescent="0.25">
      <c r="A29" s="4" t="s">
        <v>811</v>
      </c>
      <c r="B29" t="s">
        <v>27</v>
      </c>
      <c r="C29" t="s">
        <v>15</v>
      </c>
      <c r="D29" t="s">
        <v>812</v>
      </c>
      <c r="K29" s="75" t="s">
        <v>853</v>
      </c>
      <c r="L29" s="6">
        <v>2276857.9900000007</v>
      </c>
      <c r="M29" s="6">
        <v>67.439000000000007</v>
      </c>
    </row>
    <row r="30" spans="1:29" x14ac:dyDescent="0.25">
      <c r="A30" s="5" t="s">
        <v>12</v>
      </c>
      <c r="B30" s="76">
        <v>9</v>
      </c>
      <c r="C30" s="76">
        <v>132</v>
      </c>
      <c r="D30" s="76">
        <v>141</v>
      </c>
      <c r="K30" s="75" t="s">
        <v>854</v>
      </c>
      <c r="L30" s="6">
        <v>1773987.8099999994</v>
      </c>
      <c r="M30" s="6">
        <v>56.920357142857142</v>
      </c>
    </row>
    <row r="31" spans="1:29" x14ac:dyDescent="0.25">
      <c r="A31" s="5" t="s">
        <v>23</v>
      </c>
      <c r="B31" s="76">
        <v>38</v>
      </c>
      <c r="C31" s="76">
        <v>118</v>
      </c>
      <c r="D31" s="76">
        <v>156</v>
      </c>
      <c r="K31" s="75" t="s">
        <v>855</v>
      </c>
      <c r="L31" s="6">
        <v>2744443.6599999997</v>
      </c>
      <c r="M31" s="6">
        <v>56.17589743589744</v>
      </c>
    </row>
    <row r="32" spans="1:29" x14ac:dyDescent="0.25">
      <c r="A32" s="5" t="s">
        <v>17</v>
      </c>
      <c r="B32" s="76">
        <v>67</v>
      </c>
      <c r="C32" s="76">
        <v>104</v>
      </c>
      <c r="D32" s="76">
        <v>171</v>
      </c>
      <c r="K32" s="75" t="s">
        <v>856</v>
      </c>
      <c r="L32" s="6">
        <v>1709713.8000000003</v>
      </c>
      <c r="M32" s="6">
        <v>50.709090909090911</v>
      </c>
    </row>
    <row r="33" spans="1:13" x14ac:dyDescent="0.25">
      <c r="A33" s="5" t="s">
        <v>29</v>
      </c>
      <c r="B33" s="76">
        <v>3</v>
      </c>
      <c r="C33" s="76">
        <v>163</v>
      </c>
      <c r="D33" s="76">
        <v>166</v>
      </c>
      <c r="K33" s="75" t="s">
        <v>857</v>
      </c>
      <c r="L33" s="6">
        <v>1511826.1999999997</v>
      </c>
      <c r="M33" s="6">
        <v>65.498999999999995</v>
      </c>
    </row>
    <row r="34" spans="1:13" x14ac:dyDescent="0.25">
      <c r="A34" s="5" t="s">
        <v>20</v>
      </c>
      <c r="B34" s="76">
        <v>20</v>
      </c>
      <c r="C34" s="76">
        <v>123</v>
      </c>
      <c r="D34" s="76">
        <v>143</v>
      </c>
      <c r="K34" s="75" t="s">
        <v>858</v>
      </c>
      <c r="L34" s="6">
        <v>1396136.4000000001</v>
      </c>
      <c r="M34" s="6">
        <v>57.576153846153844</v>
      </c>
    </row>
    <row r="35" spans="1:13" x14ac:dyDescent="0.25">
      <c r="A35" s="5" t="s">
        <v>812</v>
      </c>
      <c r="B35" s="76">
        <v>137</v>
      </c>
      <c r="C35" s="76">
        <v>640</v>
      </c>
      <c r="D35" s="76">
        <v>777</v>
      </c>
      <c r="K35" s="75" t="s">
        <v>859</v>
      </c>
      <c r="L35" s="6">
        <v>2365673.85</v>
      </c>
      <c r="M35" s="6">
        <v>49.582954545454527</v>
      </c>
    </row>
    <row r="36" spans="1:13" x14ac:dyDescent="0.25">
      <c r="K36" s="75" t="s">
        <v>860</v>
      </c>
      <c r="L36" s="6">
        <v>2010221.3300000003</v>
      </c>
      <c r="M36" s="6">
        <v>54.546774193548387</v>
      </c>
    </row>
    <row r="37" spans="1:13" x14ac:dyDescent="0.25">
      <c r="A37" s="4" t="s">
        <v>811</v>
      </c>
      <c r="B37" t="s">
        <v>870</v>
      </c>
      <c r="C37" t="s">
        <v>848</v>
      </c>
      <c r="K37" s="75" t="s">
        <v>861</v>
      </c>
      <c r="L37" s="6">
        <v>2230645.2799999998</v>
      </c>
      <c r="M37" s="6">
        <v>59.693103448275856</v>
      </c>
    </row>
    <row r="38" spans="1:13" x14ac:dyDescent="0.25">
      <c r="A38" s="5" t="s">
        <v>844</v>
      </c>
      <c r="B38" s="6">
        <v>55.283131313131271</v>
      </c>
      <c r="C38" s="6">
        <v>50.917929292929323</v>
      </c>
      <c r="K38" s="75" t="s">
        <v>862</v>
      </c>
      <c r="L38" s="6">
        <v>1869843.1999999997</v>
      </c>
      <c r="M38" s="6">
        <v>56.402068965517259</v>
      </c>
    </row>
    <row r="39" spans="1:13" x14ac:dyDescent="0.25">
      <c r="A39" s="5" t="s">
        <v>845</v>
      </c>
      <c r="B39" s="6">
        <v>61.340949868073899</v>
      </c>
      <c r="C39" s="6">
        <v>56.458707124010495</v>
      </c>
      <c r="K39" s="75" t="s">
        <v>863</v>
      </c>
      <c r="L39" s="6">
        <v>2583675.2899999996</v>
      </c>
      <c r="M39" s="6">
        <v>55.952272727272721</v>
      </c>
    </row>
    <row r="40" spans="1:13" x14ac:dyDescent="0.25">
      <c r="A40" s="5" t="s">
        <v>846</v>
      </c>
      <c r="B40" s="6">
        <v>73.094999999999999</v>
      </c>
      <c r="C40" s="6">
        <v>66.515000000000001</v>
      </c>
      <c r="K40" s="75" t="s">
        <v>864</v>
      </c>
      <c r="L40" s="6">
        <v>1270011.5699999998</v>
      </c>
      <c r="M40" s="6">
        <v>54.170384615384627</v>
      </c>
    </row>
    <row r="41" spans="1:13" x14ac:dyDescent="0.25">
      <c r="A41" s="5" t="s">
        <v>812</v>
      </c>
      <c r="B41" s="6">
        <v>58.283822393822362</v>
      </c>
      <c r="C41" s="6">
        <v>53.660720720720661</v>
      </c>
      <c r="K41" s="5" t="s">
        <v>846</v>
      </c>
      <c r="L41" s="6"/>
      <c r="M41" s="6"/>
    </row>
    <row r="42" spans="1:13" x14ac:dyDescent="0.25">
      <c r="K42" s="75" t="s">
        <v>853</v>
      </c>
      <c r="L42" s="6">
        <v>169331.34999999998</v>
      </c>
      <c r="M42" s="6">
        <v>66.515000000000001</v>
      </c>
    </row>
  </sheetData>
  <mergeCells count="6">
    <mergeCell ref="A1:F1"/>
    <mergeCell ref="A11:F11"/>
    <mergeCell ref="J1:O1"/>
    <mergeCell ref="K13:P13"/>
    <mergeCell ref="Y5:AD5"/>
    <mergeCell ref="X18:AC18"/>
  </mergeCell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Sheet1</vt:lpstr>
      <vt:lpstr>Procurement KPI Analysis Datase</vt:lpstr>
      <vt:lpstr>Procuremet summary</vt:lpstr>
      <vt:lpstr>Sheet2</vt:lpstr>
      <vt:lpstr>Supplier Performance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Dhananjay [BCA - 2022]</cp:lastModifiedBy>
  <dcterms:created xsi:type="dcterms:W3CDTF">2026-09-27T07:59:49Z</dcterms:created>
  <dcterms:modified xsi:type="dcterms:W3CDTF">2026-10-08T15:42:56Z</dcterms:modified>
</cp:coreProperties>
</file>